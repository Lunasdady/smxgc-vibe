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300" activeTab="2"/>
  </bookViews>
  <sheets>
    <sheet name="主观多头" sheetId="1" r:id="rId1"/>
    <sheet name="300指增" sheetId="2" r:id="rId2"/>
    <sheet name="500指增" sheetId="3" r:id="rId3"/>
    <sheet name="1000指增" sheetId="4" r:id="rId4"/>
    <sheet name="2000指增" sheetId="5" r:id="rId5"/>
    <sheet name="另类指增" sheetId="6" r:id="rId6"/>
    <sheet name="量化选股" sheetId="7" r:id="rId7"/>
    <sheet name="择时&amp;多空" sheetId="8" r:id="rId8"/>
    <sheet name="市场中性&amp;T0" sheetId="9" r:id="rId9"/>
    <sheet name="可转债多头" sheetId="10" r:id="rId10"/>
    <sheet name="主观CTA" sheetId="11" r:id="rId11"/>
    <sheet name="量化CTA" sheetId="12" r:id="rId12"/>
    <sheet name="复合CTA" sheetId="13" r:id="rId13"/>
    <sheet name="套利策略" sheetId="14" r:id="rId14"/>
    <sheet name="宏观策略" sheetId="15" r:id="rId15"/>
    <sheet name="复合策略" sheetId="16" r:id="rId16"/>
    <sheet name="强势股" sheetId="17" r:id="rId17"/>
  </sheets>
  <calcPr calcId="144525"/>
</workbook>
</file>

<file path=xl/sharedStrings.xml><?xml version="1.0" encoding="utf-8"?>
<sst xmlns="http://schemas.openxmlformats.org/spreadsheetml/2006/main" count="4500" uniqueCount="1981">
  <si>
    <t>公司信息</t>
  </si>
  <si>
    <t>产品信息</t>
  </si>
  <si>
    <t>区间收益</t>
  </si>
  <si>
    <t>区间回撤</t>
  </si>
  <si>
    <t>年化波动</t>
  </si>
  <si>
    <t>夏普比率</t>
  </si>
  <si>
    <t>最高</t>
  </si>
  <si>
    <t>25%分位</t>
  </si>
  <si>
    <t>50%分位</t>
  </si>
  <si>
    <t>75%分位</t>
  </si>
  <si>
    <t>最低</t>
  </si>
  <si>
    <t>今年以来最高</t>
  </si>
  <si>
    <t>今年以来25%分位</t>
  </si>
  <si>
    <t>今年以来50%分位</t>
  </si>
  <si>
    <t>今年以来75%分位</t>
  </si>
  <si>
    <t>今年以来最低</t>
  </si>
  <si>
    <t>基金管理人</t>
  </si>
  <si>
    <t>管理人规模</t>
  </si>
  <si>
    <t>产品名称</t>
  </si>
  <si>
    <t>策略分类</t>
  </si>
  <si>
    <t>成立日期</t>
  </si>
  <si>
    <t>近一周收益</t>
  </si>
  <si>
    <t>近一月收益</t>
  </si>
  <si>
    <t>今年以来收益</t>
  </si>
  <si>
    <t>成立以来年化收益</t>
  </si>
  <si>
    <t>今年以来最大回撤</t>
  </si>
  <si>
    <t>成立以来最大回撤</t>
  </si>
  <si>
    <t>成立以来年化波动率</t>
  </si>
  <si>
    <t>成立以来夏普比率</t>
  </si>
  <si>
    <t>杭州点将台投资</t>
  </si>
  <si>
    <t>0-5亿元</t>
  </si>
  <si>
    <t>点将台将军成长6号</t>
  </si>
  <si>
    <t>主观多头</t>
  </si>
  <si>
    <t>2022-09-09</t>
  </si>
  <si>
    <t>杭州康立</t>
  </si>
  <si>
    <t>康立博牛进取1号</t>
  </si>
  <si>
    <t>2020-07-03</t>
  </si>
  <si>
    <t>深圳乾元资始</t>
  </si>
  <si>
    <t>5-10亿元</t>
  </si>
  <si>
    <t>乾元青云七号</t>
  </si>
  <si>
    <t>2021-11-18</t>
  </si>
  <si>
    <t>深圳惠富</t>
  </si>
  <si>
    <t>惠富家业长青一号</t>
  </si>
  <si>
    <t>2022-03-25</t>
  </si>
  <si>
    <t>上海翼品资管</t>
  </si>
  <si>
    <t>翼品致远股票价值精选1号</t>
  </si>
  <si>
    <t>2020-05-27</t>
  </si>
  <si>
    <t>北京毅然资管</t>
  </si>
  <si>
    <t>毅然创世基金一期</t>
  </si>
  <si>
    <t>2015-11-05</t>
  </si>
  <si>
    <t>江西猎马投资</t>
  </si>
  <si>
    <t>猎马源创3号A类</t>
  </si>
  <si>
    <t>2017-11-28</t>
  </si>
  <si>
    <t>上海久铭投资</t>
  </si>
  <si>
    <t>20-50亿元</t>
  </si>
  <si>
    <t>久铭1号</t>
  </si>
  <si>
    <t>2016-12-09</t>
  </si>
  <si>
    <t>杭州秉怀</t>
  </si>
  <si>
    <t>秉怀秉林3号</t>
  </si>
  <si>
    <t>2018-03-08</t>
  </si>
  <si>
    <t>上海亘曦</t>
  </si>
  <si>
    <t>10-20亿元</t>
  </si>
  <si>
    <t>亘曦5号一期</t>
  </si>
  <si>
    <t>2020-12-17</t>
  </si>
  <si>
    <t>厦门言起投资</t>
  </si>
  <si>
    <t>厦门言起哈利兄弟信望一号</t>
  </si>
  <si>
    <t>2021-01-14</t>
  </si>
  <si>
    <t>上海文多资产</t>
  </si>
  <si>
    <t>文多文睿五期</t>
  </si>
  <si>
    <t>2024-04-29</t>
  </si>
  <si>
    <t>北京中资东方</t>
  </si>
  <si>
    <t>中资东方远见价值1号</t>
  </si>
  <si>
    <t>2021-07-19</t>
  </si>
  <si>
    <t>上海深积资管</t>
  </si>
  <si>
    <t>深积稳健成长1号</t>
  </si>
  <si>
    <t>2021-01-25</t>
  </si>
  <si>
    <t>深圳通和</t>
  </si>
  <si>
    <t>通和富享一期</t>
  </si>
  <si>
    <t>2015-12-18</t>
  </si>
  <si>
    <t>青岛泽盈资管</t>
  </si>
  <si>
    <t>泽盈远至</t>
  </si>
  <si>
    <t>2021-08-04</t>
  </si>
  <si>
    <t>上海秋阳予梁投资</t>
  </si>
  <si>
    <t>秋阳8期</t>
  </si>
  <si>
    <t>2018-02-01</t>
  </si>
  <si>
    <t>北京中承东方资管</t>
  </si>
  <si>
    <t>中承岁月静好1期</t>
  </si>
  <si>
    <t>2018-04-25</t>
  </si>
  <si>
    <t>北京江亿资管</t>
  </si>
  <si>
    <t>江亿熵衍1号多策略对冲</t>
  </si>
  <si>
    <t>2021-11-11</t>
  </si>
  <si>
    <t>海南硕腾</t>
  </si>
  <si>
    <t>硕腾高成长1号</t>
  </si>
  <si>
    <t>2022-09-14</t>
  </si>
  <si>
    <t>宁波彩霞湾投资</t>
  </si>
  <si>
    <t>彩霞湾探贝一期</t>
  </si>
  <si>
    <t>2020-03-05</t>
  </si>
  <si>
    <t>福建省同亨投资</t>
  </si>
  <si>
    <t>同亨国运鸿二号A类</t>
  </si>
  <si>
    <t>2019-12-03</t>
  </si>
  <si>
    <t>杭州广天投资</t>
  </si>
  <si>
    <t>广天水晶南瓜</t>
  </si>
  <si>
    <t>2019-05-28</t>
  </si>
  <si>
    <t>上海云脊</t>
  </si>
  <si>
    <t>云脊价值精选</t>
  </si>
  <si>
    <t>2025-03-18</t>
  </si>
  <si>
    <t>上海量客</t>
  </si>
  <si>
    <t>量客卓宇进取量选一号</t>
  </si>
  <si>
    <t>2021-09-02</t>
  </si>
  <si>
    <t>宁波宝隽资管</t>
  </si>
  <si>
    <t>宝隽钱塘壹号精选</t>
  </si>
  <si>
    <t>2021-02-05</t>
  </si>
  <si>
    <t>广州泽元</t>
  </si>
  <si>
    <t>泽元通宝1号</t>
  </si>
  <si>
    <t>2019-11-26</t>
  </si>
  <si>
    <t>深圳前海汇杰达理资本</t>
  </si>
  <si>
    <t>达理1号</t>
  </si>
  <si>
    <t>2016-07-28</t>
  </si>
  <si>
    <t>北京安远</t>
  </si>
  <si>
    <t>安远可转债二期</t>
  </si>
  <si>
    <t>2023-04-28</t>
  </si>
  <si>
    <t>上海鲸域资管</t>
  </si>
  <si>
    <t>鲸域安瑞一号</t>
  </si>
  <si>
    <t>2023-12-13</t>
  </si>
  <si>
    <t>亘曦1号</t>
  </si>
  <si>
    <t>2018-12-03</t>
  </si>
  <si>
    <t>北京枫泉投资</t>
  </si>
  <si>
    <t>枫泉景辉1期</t>
  </si>
  <si>
    <t>2019-03-19</t>
  </si>
  <si>
    <t>海南明上</t>
  </si>
  <si>
    <t>海南明上稳利2号</t>
  </si>
  <si>
    <t>2025-04-17</t>
  </si>
  <si>
    <t>上海启泰</t>
  </si>
  <si>
    <t>启泰多策略进取1号A类</t>
  </si>
  <si>
    <t>2023-08-28</t>
  </si>
  <si>
    <t>常州毗陵</t>
  </si>
  <si>
    <t>毗陵青果</t>
  </si>
  <si>
    <t>2017-12-19</t>
  </si>
  <si>
    <t>广东仟贝</t>
  </si>
  <si>
    <t>仟贝富盈精选1号</t>
  </si>
  <si>
    <t>2023-02-08</t>
  </si>
  <si>
    <t>南京璟恒投资</t>
  </si>
  <si>
    <t>璟恒五期资产管理基金</t>
  </si>
  <si>
    <t>2015-06-26</t>
  </si>
  <si>
    <t>北京黑森投资</t>
  </si>
  <si>
    <t>黑森三号</t>
  </si>
  <si>
    <t>2018-01-15</t>
  </si>
  <si>
    <t>上海宁涌富</t>
  </si>
  <si>
    <t>宁涌富小满5号</t>
  </si>
  <si>
    <t>2022-06-02</t>
  </si>
  <si>
    <t>深圳东方马拉松投资</t>
  </si>
  <si>
    <t>东方马拉松中国企业价值精选</t>
  </si>
  <si>
    <t>2018-07-06</t>
  </si>
  <si>
    <t>上海东方创新投资</t>
  </si>
  <si>
    <t>东方创新3号A类</t>
  </si>
  <si>
    <t>上海申毅投资</t>
  </si>
  <si>
    <t>100亿元以上</t>
  </si>
  <si>
    <t>申毅格物18号</t>
  </si>
  <si>
    <t>2021-01-27</t>
  </si>
  <si>
    <t>上海磬晟</t>
  </si>
  <si>
    <t>多打粮磬晟</t>
  </si>
  <si>
    <t>2020-12-10</t>
  </si>
  <si>
    <t>上海朗道投资</t>
  </si>
  <si>
    <t>朗道阡陌一号</t>
  </si>
  <si>
    <t>2023-10-13</t>
  </si>
  <si>
    <t>海南共裕</t>
  </si>
  <si>
    <t>共裕高易10号</t>
  </si>
  <si>
    <t>2022-11-18</t>
  </si>
  <si>
    <t>北京华诺投资</t>
  </si>
  <si>
    <t>华诺投资壹诺千金2号</t>
  </si>
  <si>
    <t>2021-11-30</t>
  </si>
  <si>
    <t>杭州遂玖</t>
  </si>
  <si>
    <t>日出定向2号</t>
  </si>
  <si>
    <t>2018-04-03</t>
  </si>
  <si>
    <t>西藏中睿合银投资</t>
  </si>
  <si>
    <t>中睿合银策略精选1号对冲基金</t>
  </si>
  <si>
    <t>2014-07-07</t>
  </si>
  <si>
    <t>山东东宏</t>
  </si>
  <si>
    <t>东宏海赢价值</t>
  </si>
  <si>
    <t>2021-07-29</t>
  </si>
  <si>
    <t>深圳盛天投资</t>
  </si>
  <si>
    <t>盛天价值精选1号</t>
  </si>
  <si>
    <t>2018-12-25</t>
  </si>
  <si>
    <t>上海中域资产</t>
  </si>
  <si>
    <t>中域均衡配置产业升级1号</t>
  </si>
  <si>
    <t>2018-01-12</t>
  </si>
  <si>
    <t>上海逐流资管</t>
  </si>
  <si>
    <t>大黑龙</t>
  </si>
  <si>
    <t>2017-09-19</t>
  </si>
  <si>
    <t>上海光合未来</t>
  </si>
  <si>
    <t>光合未来1号私募股票</t>
  </si>
  <si>
    <t>2020-09-23</t>
  </si>
  <si>
    <t>深圳黑金石</t>
  </si>
  <si>
    <t>黑金石宁游1号</t>
  </si>
  <si>
    <t>2025-03-03</t>
  </si>
  <si>
    <t>上海钇远</t>
  </si>
  <si>
    <t>钇远茂承1号</t>
  </si>
  <si>
    <t>2024-07-04</t>
  </si>
  <si>
    <t>上海睿亿投资</t>
  </si>
  <si>
    <t>睿亿投资攀山十一期</t>
  </si>
  <si>
    <t>2020-08-04</t>
  </si>
  <si>
    <t>上海信鱼</t>
  </si>
  <si>
    <t>信鱼吉宏量化多策略3号</t>
  </si>
  <si>
    <t>2021-02-08</t>
  </si>
  <si>
    <t>上海紫阁投资</t>
  </si>
  <si>
    <t>紫阁同爽1号</t>
  </si>
  <si>
    <t>2020-11-23</t>
  </si>
  <si>
    <t>青岛明德智行投资</t>
  </si>
  <si>
    <t>明德1期</t>
  </si>
  <si>
    <t>2018-02-07</t>
  </si>
  <si>
    <t>深圳宽裕资管</t>
  </si>
  <si>
    <t>宽裕成长三号</t>
  </si>
  <si>
    <t>2021-07-05</t>
  </si>
  <si>
    <t>海南峰辰</t>
  </si>
  <si>
    <t>峰辰长阳一号</t>
  </si>
  <si>
    <t>2020-06-17</t>
  </si>
  <si>
    <t>上海睿扬投资</t>
  </si>
  <si>
    <t>50-100亿元</t>
  </si>
  <si>
    <t>睿扬尊享7号</t>
  </si>
  <si>
    <t>2020-03-06</t>
  </si>
  <si>
    <t>深圳纽富斯投资</t>
  </si>
  <si>
    <t>纽富斯价值精选</t>
  </si>
  <si>
    <t>2018-05-10</t>
  </si>
  <si>
    <t>相聚资管</t>
  </si>
  <si>
    <t>相聚芒格精选6号</t>
  </si>
  <si>
    <t>2021-02-01</t>
  </si>
  <si>
    <t>海南希瓦</t>
  </si>
  <si>
    <t>希瓦小牛9号</t>
  </si>
  <si>
    <t>2018-03-14</t>
  </si>
  <si>
    <t>上海拓牌</t>
  </si>
  <si>
    <t>拓牌盈丰1号A类</t>
  </si>
  <si>
    <t>2020-07-22</t>
  </si>
  <si>
    <t>上海万霁资管</t>
  </si>
  <si>
    <t>万霁一号</t>
  </si>
  <si>
    <t>2015-06-12</t>
  </si>
  <si>
    <t>深圳天之卉</t>
  </si>
  <si>
    <t>天之卉天选壹号</t>
  </si>
  <si>
    <t>深圳前海鹏铁投资</t>
  </si>
  <si>
    <t>鹏铁山峰1号</t>
  </si>
  <si>
    <t>2021-05-31</t>
  </si>
  <si>
    <t>福建千寻</t>
  </si>
  <si>
    <t>千寻朴润成长</t>
  </si>
  <si>
    <t>2020-07-13</t>
  </si>
  <si>
    <t>海南硕丰</t>
  </si>
  <si>
    <t>硕丰高远1号</t>
  </si>
  <si>
    <t>2022-03-17</t>
  </si>
  <si>
    <t>杭州研几</t>
  </si>
  <si>
    <t>研几6号</t>
  </si>
  <si>
    <t>2022-01-10</t>
  </si>
  <si>
    <t>上海聚鸣投资</t>
  </si>
  <si>
    <t>聚鸣多策略8号B期</t>
  </si>
  <si>
    <t>2020-06-11</t>
  </si>
  <si>
    <t>深圳福汇资管</t>
  </si>
  <si>
    <t>福汇冠盛稳盈一号</t>
  </si>
  <si>
    <t>2018-09-26</t>
  </si>
  <si>
    <t>宁波日青木化资管</t>
  </si>
  <si>
    <t>日青木化意享2号</t>
  </si>
  <si>
    <t>2023-04-14</t>
  </si>
  <si>
    <t>江苏英鑫</t>
  </si>
  <si>
    <t>英鑫价值成长一号</t>
  </si>
  <si>
    <t>2024-10-08</t>
  </si>
  <si>
    <t>大连方信财富投资</t>
  </si>
  <si>
    <t>方信睿熙七号</t>
  </si>
  <si>
    <t>2022-04-14</t>
  </si>
  <si>
    <t>成都希尔</t>
  </si>
  <si>
    <t>希尔价值1号</t>
  </si>
  <si>
    <t>2022-05-13</t>
  </si>
  <si>
    <t>江阴江梁投资</t>
  </si>
  <si>
    <t>江梁投资价值成长总</t>
  </si>
  <si>
    <t>2022-09-15</t>
  </si>
  <si>
    <t>近一周超额收益</t>
  </si>
  <si>
    <t>近三月超额收益</t>
  </si>
  <si>
    <t>今年以来超额收益</t>
  </si>
  <si>
    <t>成立以来超额年化收益</t>
  </si>
  <si>
    <t>今年以来超额最大回撤</t>
  </si>
  <si>
    <t>成立以来超额最大回撤</t>
  </si>
  <si>
    <t>成立以来超额年化波动率</t>
  </si>
  <si>
    <t>成立以来超额夏普比率</t>
  </si>
  <si>
    <t>宁波幻方量化投资</t>
  </si>
  <si>
    <t>九章幻方沪深300量化多策略1号</t>
  </si>
  <si>
    <t>300指增</t>
  </si>
  <si>
    <t>2017-12-22</t>
  </si>
  <si>
    <t>上海磐松</t>
  </si>
  <si>
    <t>磐松大盘股指数增强1号</t>
  </si>
  <si>
    <t>2022-12-20</t>
  </si>
  <si>
    <t>上海无涯</t>
  </si>
  <si>
    <t>无涯沪深300指数增强1号</t>
  </si>
  <si>
    <t>2025-08-05</t>
  </si>
  <si>
    <t>杭州钧富投资</t>
  </si>
  <si>
    <t>钧富沪深300指数增强1号</t>
  </si>
  <si>
    <t>2020-09-25</t>
  </si>
  <si>
    <t>深圳衍盛</t>
  </si>
  <si>
    <t>衍盛铭量沪深300指数增强1号</t>
  </si>
  <si>
    <t>2019-07-25</t>
  </si>
  <si>
    <t>深圳前海砚博乘风资管</t>
  </si>
  <si>
    <t>砚博指增3号</t>
  </si>
  <si>
    <t>2024-02-07</t>
  </si>
  <si>
    <t>上海宽德</t>
  </si>
  <si>
    <t>宽德沪深300指数增强7号一期</t>
  </si>
  <si>
    <t>2023-10-25</t>
  </si>
  <si>
    <t>宁涌富春分2号</t>
  </si>
  <si>
    <t>2022-05-11</t>
  </si>
  <si>
    <t>上海锐天投资</t>
  </si>
  <si>
    <t>锐天标准300指数增强1号</t>
  </si>
  <si>
    <t>青岛安值投资</t>
  </si>
  <si>
    <t>安值福慧量化3号</t>
  </si>
  <si>
    <t>2018-07-16</t>
  </si>
  <si>
    <t>上海小黑妞资管</t>
  </si>
  <si>
    <t>小黑妞沪深300指数增强1号</t>
  </si>
  <si>
    <t>2020-05-13</t>
  </si>
  <si>
    <t>三亚托特</t>
  </si>
  <si>
    <t>托特沪深300指数增强2号</t>
  </si>
  <si>
    <t>2023-12-18</t>
  </si>
  <si>
    <t>北京正定</t>
  </si>
  <si>
    <t>正定沪深300指数增强1号</t>
  </si>
  <si>
    <t>2024-06-13</t>
  </si>
  <si>
    <t>鲁民投基金</t>
  </si>
  <si>
    <t>鲁民投沪深300指数增强一号</t>
  </si>
  <si>
    <t>2024-01-24</t>
  </si>
  <si>
    <t>半鞅基金</t>
  </si>
  <si>
    <t>半鞅沪深300指数增强1号</t>
  </si>
  <si>
    <t>2025-02-07</t>
  </si>
  <si>
    <t>浙江白鹭资管</t>
  </si>
  <si>
    <t>白鹭300指数增强二号</t>
  </si>
  <si>
    <t>2019-04-19</t>
  </si>
  <si>
    <t>上海众量</t>
  </si>
  <si>
    <t>众量资产添运1号</t>
  </si>
  <si>
    <t>2020-12-23</t>
  </si>
  <si>
    <t>上海衍合</t>
  </si>
  <si>
    <t>衍合300指数增强1号</t>
  </si>
  <si>
    <t>2021-06-07</t>
  </si>
  <si>
    <t>上海黑翼资管</t>
  </si>
  <si>
    <t>黑翼沪深300指数增强2号</t>
  </si>
  <si>
    <t>2025-01-08</t>
  </si>
  <si>
    <t>北京长鲸九州</t>
  </si>
  <si>
    <t>长鲸探源优选1号</t>
  </si>
  <si>
    <t>2024-05-30</t>
  </si>
  <si>
    <t>上海量派投资</t>
  </si>
  <si>
    <t>量派300增强2号</t>
  </si>
  <si>
    <t>2020-11-17</t>
  </si>
  <si>
    <t>海南盖亚青柯</t>
  </si>
  <si>
    <t>盖亚青柯沪深300指增1号</t>
  </si>
  <si>
    <t>2023-04-12</t>
  </si>
  <si>
    <t>衍盛指数增强8号</t>
  </si>
  <si>
    <t>500指增</t>
  </si>
  <si>
    <t>2022-08-04</t>
  </si>
  <si>
    <t>上海赫富投资</t>
  </si>
  <si>
    <t>赫富吉享中证500量化指数增强一号</t>
  </si>
  <si>
    <t>2025-04-29</t>
  </si>
  <si>
    <t>宁波金戈量锐资管</t>
  </si>
  <si>
    <t>量锐指数增强9号</t>
  </si>
  <si>
    <t>2021-04-14</t>
  </si>
  <si>
    <t>乾元资始AI指数增强3号</t>
  </si>
  <si>
    <t>2021-05-24</t>
  </si>
  <si>
    <t>武汉同温层</t>
  </si>
  <si>
    <t>同温层中证500指数增强1号</t>
  </si>
  <si>
    <t>2020-06-03</t>
  </si>
  <si>
    <t>九章幻方中证500量化多策略1号</t>
  </si>
  <si>
    <t>2017-01-19</t>
  </si>
  <si>
    <t>上海垒昂</t>
  </si>
  <si>
    <t>垒昂金鹿中证500指数增强6号</t>
  </si>
  <si>
    <t>2022-01-05</t>
  </si>
  <si>
    <t>上海锦徽</t>
  </si>
  <si>
    <t>锦徽延风</t>
  </si>
  <si>
    <t>2022-03-08</t>
  </si>
  <si>
    <t>上海远澜</t>
  </si>
  <si>
    <t>远澜梧桐量化选股择时1号</t>
  </si>
  <si>
    <t>2020-11-18</t>
  </si>
  <si>
    <t>磐松中盘股指数增强1号</t>
  </si>
  <si>
    <t>上海念空</t>
  </si>
  <si>
    <t>念空指增进取Plus2号</t>
  </si>
  <si>
    <t>2025-04-03</t>
  </si>
  <si>
    <t>安值福慧量化2号</t>
  </si>
  <si>
    <t>2018-07-18</t>
  </si>
  <si>
    <t>杭州橡木</t>
  </si>
  <si>
    <t>橡木永富</t>
  </si>
  <si>
    <t>2021-02-26</t>
  </si>
  <si>
    <t>上海宽投资管</t>
  </si>
  <si>
    <t>宽投指数增强二号</t>
  </si>
  <si>
    <t>2017-02-06</t>
  </si>
  <si>
    <t>杭州理博</t>
  </si>
  <si>
    <t>理博1号500</t>
  </si>
  <si>
    <t>上海蒙玺投资</t>
  </si>
  <si>
    <t>蒙玺祖冲之1号量化</t>
  </si>
  <si>
    <t>2019-04-01</t>
  </si>
  <si>
    <t>深圳大道投资</t>
  </si>
  <si>
    <t>大道丰沃500指数增强</t>
  </si>
  <si>
    <t>2021-11-15</t>
  </si>
  <si>
    <t>上海思勰投资</t>
  </si>
  <si>
    <t>思勰投资-中证500指数增强1号</t>
  </si>
  <si>
    <t>2020-03-26</t>
  </si>
  <si>
    <t>宁波灵均投资</t>
  </si>
  <si>
    <t>灵均中证500指数增强2号</t>
  </si>
  <si>
    <t>2018-10-17</t>
  </si>
  <si>
    <t>钧富中证500指数增强1号</t>
  </si>
  <si>
    <t>2019-07-17</t>
  </si>
  <si>
    <t>广东御澜资管</t>
  </si>
  <si>
    <t>御澜泰晤士1号</t>
  </si>
  <si>
    <t>深圳本利达资管</t>
  </si>
  <si>
    <t>本利达利磐八号</t>
  </si>
  <si>
    <t>2021-07-06</t>
  </si>
  <si>
    <t>海南进化论</t>
  </si>
  <si>
    <t>进化论达尔文中证500指数增强一号</t>
  </si>
  <si>
    <t>2019-12-18</t>
  </si>
  <si>
    <t>杭州嘉合杉升</t>
  </si>
  <si>
    <t>嘉合杉升500指增一号</t>
  </si>
  <si>
    <t>2023-04-20</t>
  </si>
  <si>
    <t>托特中证500指数增强3号</t>
  </si>
  <si>
    <t>2022-04-26</t>
  </si>
  <si>
    <t>青岛悦海盈和</t>
  </si>
  <si>
    <t>悦海盈和500指数增强1号</t>
  </si>
  <si>
    <t>2021-10-19</t>
  </si>
  <si>
    <t>青岛星阔投资</t>
  </si>
  <si>
    <t>星阔广厦1号中证500指数增强</t>
  </si>
  <si>
    <t>2021-02-03</t>
  </si>
  <si>
    <t>上海正合</t>
  </si>
  <si>
    <t>正合中证500指数增强</t>
  </si>
  <si>
    <t>2025-09-24</t>
  </si>
  <si>
    <t>北京信朴量思投资</t>
  </si>
  <si>
    <t>信朴8号</t>
  </si>
  <si>
    <t>2016-12-23</t>
  </si>
  <si>
    <t>量客星远500增强1号</t>
  </si>
  <si>
    <t>2021-12-01</t>
  </si>
  <si>
    <t>海南图灵</t>
  </si>
  <si>
    <t>图灵择时500指数增强1号</t>
  </si>
  <si>
    <t>2021-06-17</t>
  </si>
  <si>
    <t>上海千衍</t>
  </si>
  <si>
    <t>千衍六和31号</t>
  </si>
  <si>
    <t>鸣熙资本</t>
  </si>
  <si>
    <t>鸣熙天玑中证500指数增强1号</t>
  </si>
  <si>
    <t>2021-12-16</t>
  </si>
  <si>
    <t>上海玄信投资</t>
  </si>
  <si>
    <t>玄信星选500指数增强1号</t>
  </si>
  <si>
    <t>2023-10-31</t>
  </si>
  <si>
    <t>上海孝庸</t>
  </si>
  <si>
    <t>孝庸中证500指增1号B类</t>
  </si>
  <si>
    <t>2023-12-28</t>
  </si>
  <si>
    <t>北京惠隆资管</t>
  </si>
  <si>
    <t>惠隆量化10号</t>
  </si>
  <si>
    <t>2020-03-18</t>
  </si>
  <si>
    <t>深圳超量子</t>
  </si>
  <si>
    <t>超量子中证500增强2号</t>
  </si>
  <si>
    <t>2021-06-11</t>
  </si>
  <si>
    <t>深圳嘉石大岩</t>
  </si>
  <si>
    <t>大岩超越500A类</t>
  </si>
  <si>
    <t>2017-12-13</t>
  </si>
  <si>
    <t>上海德贝</t>
  </si>
  <si>
    <t>德贝日选中证500指数增强1号</t>
  </si>
  <si>
    <t>2023-03-13</t>
  </si>
  <si>
    <t>上海天演</t>
  </si>
  <si>
    <t>天演中证500指数增强基金</t>
  </si>
  <si>
    <t>2016-03-01</t>
  </si>
  <si>
    <t>半鞅中证500指数增强</t>
  </si>
  <si>
    <t>2022-01-19</t>
  </si>
  <si>
    <t>上海涌现</t>
  </si>
  <si>
    <t>涌现均衡</t>
  </si>
  <si>
    <t>2024-10-16</t>
  </si>
  <si>
    <t>上海千朔投资</t>
  </si>
  <si>
    <t>千朔指数增强二号</t>
  </si>
  <si>
    <t>2019-06-21</t>
  </si>
  <si>
    <t>衍合500指数增强1号</t>
  </si>
  <si>
    <t>2020-09-22</t>
  </si>
  <si>
    <t>共青城洺沣投资</t>
  </si>
  <si>
    <t>洺沣中证500指数增强1号</t>
  </si>
  <si>
    <t>2020-10-14</t>
  </si>
  <si>
    <t>鲁民投中证500指数增强二号</t>
  </si>
  <si>
    <t>2023-09-07</t>
  </si>
  <si>
    <t>上海弈倍</t>
  </si>
  <si>
    <t>弈倍A500核心资产精选一号</t>
  </si>
  <si>
    <t>2025-01-17</t>
  </si>
  <si>
    <t>正定中证500指数增强1号</t>
  </si>
  <si>
    <t>2023-09-14</t>
  </si>
  <si>
    <t>北京无隅资产</t>
  </si>
  <si>
    <t>无隅鲲鹏一号</t>
  </si>
  <si>
    <t>杭州龙旗科技</t>
  </si>
  <si>
    <t>龙旗红旭</t>
  </si>
  <si>
    <t>2016-10-11</t>
  </si>
  <si>
    <t>宁波平方和投资</t>
  </si>
  <si>
    <t>平方和鼎盛中证500指数增强9号</t>
  </si>
  <si>
    <t>2022-11-25</t>
  </si>
  <si>
    <t>上海银叶投资</t>
  </si>
  <si>
    <t>银叶量化精选1期</t>
  </si>
  <si>
    <t>2017-12-18</t>
  </si>
  <si>
    <t>上海会世</t>
  </si>
  <si>
    <t>会世元驰500指增1号</t>
  </si>
  <si>
    <t>2021-11-25</t>
  </si>
  <si>
    <t>杭州远和</t>
  </si>
  <si>
    <t>远和可悦1号</t>
  </si>
  <si>
    <t>2025-05-08</t>
  </si>
  <si>
    <t>锐天核心21号</t>
  </si>
  <si>
    <t>2023-03-02</t>
  </si>
  <si>
    <t>上海量宇</t>
  </si>
  <si>
    <t>量宇中证500指数增强1号</t>
  </si>
  <si>
    <t>2023-11-27</t>
  </si>
  <si>
    <t>白鹭精选量化鲲鹏十号</t>
  </si>
  <si>
    <t>2021-03-01</t>
  </si>
  <si>
    <t>珠海榕树海</t>
  </si>
  <si>
    <t>榕树海中证500指数增强2号</t>
  </si>
  <si>
    <t>2024-08-30</t>
  </si>
  <si>
    <t>长鲸探微优选1号</t>
  </si>
  <si>
    <t>2024-06-26</t>
  </si>
  <si>
    <t>海南锦福源</t>
  </si>
  <si>
    <t>锦福源中证500指增1号</t>
  </si>
  <si>
    <t>2026-01-29</t>
  </si>
  <si>
    <t>上海顽岩</t>
  </si>
  <si>
    <t>顽岩中证500指数增强1号</t>
  </si>
  <si>
    <t>2021-07-09</t>
  </si>
  <si>
    <t>上海佑诗</t>
  </si>
  <si>
    <t>佑诗启延1号</t>
  </si>
  <si>
    <t>2021-04-16</t>
  </si>
  <si>
    <t>上海天戈投资</t>
  </si>
  <si>
    <t>天戈冠群一号</t>
  </si>
  <si>
    <t>2022-03-30</t>
  </si>
  <si>
    <t>北京聚宽投资</t>
  </si>
  <si>
    <t>聚宽羽选一号中证500指数增强</t>
  </si>
  <si>
    <t>2022-06-29</t>
  </si>
  <si>
    <t>北京瑞鑫天算资管</t>
  </si>
  <si>
    <t>瑞鑫天算8号</t>
  </si>
  <si>
    <t>2020-03-19</t>
  </si>
  <si>
    <t>杭州德远</t>
  </si>
  <si>
    <t>德远树蛙量化中证500指数增强</t>
  </si>
  <si>
    <t>2019-10-25</t>
  </si>
  <si>
    <t>深圳安子</t>
  </si>
  <si>
    <t>安子极客中证500增强一号A类</t>
  </si>
  <si>
    <t>2022-12-09</t>
  </si>
  <si>
    <t>珠海巨量均衡</t>
  </si>
  <si>
    <t>巨量均衡中证500进取型指数增强飒露紫一号</t>
  </si>
  <si>
    <t>2021-12-07</t>
  </si>
  <si>
    <t>北京兴途</t>
  </si>
  <si>
    <t>兴途春辉智选1号</t>
  </si>
  <si>
    <t>2022-06-10</t>
  </si>
  <si>
    <t>盖亚青柯中证500指数增强1号</t>
  </si>
  <si>
    <t>2021-12-06</t>
  </si>
  <si>
    <t>北京棱镜</t>
  </si>
  <si>
    <t>棱镜乾量中证1000指数增强1号A类</t>
  </si>
  <si>
    <t>1000指增</t>
  </si>
  <si>
    <t>2022-02-15</t>
  </si>
  <si>
    <t>棱镜乾量中证1000指数增强1号</t>
  </si>
  <si>
    <t>海南宽辅</t>
  </si>
  <si>
    <t>宽辅中证1000指数增强1号</t>
  </si>
  <si>
    <t>2023-08-16</t>
  </si>
  <si>
    <t>浙江量盈投资</t>
  </si>
  <si>
    <t>量盈中证1000指数增强1号</t>
  </si>
  <si>
    <t>2023-02-07</t>
  </si>
  <si>
    <t>量锐优选中证1000指数增强三号</t>
  </si>
  <si>
    <t>2022-11-23</t>
  </si>
  <si>
    <t>上海天辉</t>
  </si>
  <si>
    <t>天辉雷诺1号中证1000指数增强</t>
  </si>
  <si>
    <t>2024-11-05</t>
  </si>
  <si>
    <t>无涯中证1000指数增强1号</t>
  </si>
  <si>
    <t>2024-09-30</t>
  </si>
  <si>
    <t>灵均中证1000指数增强1号</t>
  </si>
  <si>
    <t>2021-01-06</t>
  </si>
  <si>
    <t>兴途晨辉智选1号</t>
  </si>
  <si>
    <t>2023-06-07</t>
  </si>
  <si>
    <t>幻方中证1000量化多策略2号</t>
  </si>
  <si>
    <t>2019-07-19</t>
  </si>
  <si>
    <t>上海积沐</t>
  </si>
  <si>
    <t>积沐领航一号</t>
  </si>
  <si>
    <t>2025-04-02</t>
  </si>
  <si>
    <t>上海青琰</t>
  </si>
  <si>
    <t>青琰捷北五号A类</t>
  </si>
  <si>
    <t>2025-09-10</t>
  </si>
  <si>
    <t>上海竹润投资</t>
  </si>
  <si>
    <t>竹润乐天1000指数增强2号</t>
  </si>
  <si>
    <t>2020-10-27</t>
  </si>
  <si>
    <t>橡木望江二号</t>
  </si>
  <si>
    <t>2022-03-14</t>
  </si>
  <si>
    <t>共青城极量投资</t>
  </si>
  <si>
    <t>极量精选指增</t>
  </si>
  <si>
    <t>2022-12-22</t>
  </si>
  <si>
    <t>衍盛中证1000指数增强建享2号</t>
  </si>
  <si>
    <t>2024-01-12</t>
  </si>
  <si>
    <t>大道丰盈1000指数增强</t>
  </si>
  <si>
    <t>上海因诺资管</t>
  </si>
  <si>
    <t>因诺中证1000指数增强1号</t>
  </si>
  <si>
    <t>2019-09-23</t>
  </si>
  <si>
    <t>杭州传定</t>
  </si>
  <si>
    <t>传定极光量化增强1号</t>
  </si>
  <si>
    <t>2023-08-30</t>
  </si>
  <si>
    <t>正合凌云1号</t>
  </si>
  <si>
    <t>2025-03-12</t>
  </si>
  <si>
    <t>北京九坤投资</t>
  </si>
  <si>
    <t>九坤千垣中证1000指数增强专享3号</t>
  </si>
  <si>
    <t>2025-09-16</t>
  </si>
  <si>
    <t>托特春晓中证1000指数增强2号</t>
  </si>
  <si>
    <t>2022-10-20</t>
  </si>
  <si>
    <t>磐松小盘股指数增强1号</t>
  </si>
  <si>
    <t>2023-01-09</t>
  </si>
  <si>
    <t>上海今通投资</t>
  </si>
  <si>
    <t>今通新锐千里马1000指数增强</t>
  </si>
  <si>
    <t>2025-06-11</t>
  </si>
  <si>
    <t>思勰投资思源中证1000指数增强1号</t>
  </si>
  <si>
    <t>2022-10-17</t>
  </si>
  <si>
    <t>海南三亚香农</t>
  </si>
  <si>
    <t>香农1000指增1号</t>
  </si>
  <si>
    <t>2023-02-28</t>
  </si>
  <si>
    <t>进化论多棱镜中证1000指数增强</t>
  </si>
  <si>
    <t>2023-11-29</t>
  </si>
  <si>
    <t>孝庸指数增强1号A类</t>
  </si>
  <si>
    <t>2023-07-12</t>
  </si>
  <si>
    <t>同温层中证1000指数增强1号</t>
  </si>
  <si>
    <t>2020-11-30</t>
  </si>
  <si>
    <t>千衍六和38号</t>
  </si>
  <si>
    <t>2025-01-14</t>
  </si>
  <si>
    <t>大岩千帆2号</t>
  </si>
  <si>
    <t>2022-09-13</t>
  </si>
  <si>
    <t>锦徽中证1000指数增强1号</t>
  </si>
  <si>
    <t>2023-11-16</t>
  </si>
  <si>
    <t>洺沣中证1000指数增强1号</t>
  </si>
  <si>
    <t>2021-10-29</t>
  </si>
  <si>
    <t>平方和鼎盛中证1000指数增强8号</t>
  </si>
  <si>
    <t>2022-10-14</t>
  </si>
  <si>
    <t>武汉德合</t>
  </si>
  <si>
    <t>德合南岳量化一号</t>
  </si>
  <si>
    <t>2023-04-10</t>
  </si>
  <si>
    <t>锐天核心二号</t>
  </si>
  <si>
    <t>2021-07-08</t>
  </si>
  <si>
    <t>千朔中证1000指增一号A期</t>
  </si>
  <si>
    <t>深圳盛恒投资</t>
  </si>
  <si>
    <t>盛恒五号中证1000指数增强</t>
  </si>
  <si>
    <t>2024-05-13</t>
  </si>
  <si>
    <t>玄信中证1000指数增强1号</t>
  </si>
  <si>
    <t>2022-08-10</t>
  </si>
  <si>
    <t>德贝中证1000指数增强1号B类</t>
  </si>
  <si>
    <t>2022-04-22</t>
  </si>
  <si>
    <t>上海微丰投资</t>
  </si>
  <si>
    <t>微丰全市场股票精选1号</t>
  </si>
  <si>
    <t>仲阳天王星</t>
  </si>
  <si>
    <t>仲阳天王星晴空庭烨1000指增量化</t>
  </si>
  <si>
    <t>2022-05-31</t>
  </si>
  <si>
    <t>砚博指增2号</t>
  </si>
  <si>
    <t>2024-01-05</t>
  </si>
  <si>
    <t>上海澜胜</t>
  </si>
  <si>
    <t>澜胜1000指数增强一期</t>
  </si>
  <si>
    <t>2025-09-22</t>
  </si>
  <si>
    <t>杭州深度资管</t>
  </si>
  <si>
    <t>深度臻选1000指数增强1号</t>
  </si>
  <si>
    <t>2025-06-09</t>
  </si>
  <si>
    <t>图灵旅行者中证1000指数增强1号</t>
  </si>
  <si>
    <t>惠隆安享中证1000指数增强1号</t>
  </si>
  <si>
    <t>悦海盈和1000指数增强1号</t>
  </si>
  <si>
    <t>2022-03-23</t>
  </si>
  <si>
    <t>上海子午投资</t>
  </si>
  <si>
    <t>子午1000指数增强一号</t>
  </si>
  <si>
    <t>鲁民投中证1000指数增强一号</t>
  </si>
  <si>
    <t>2022-07-27</t>
  </si>
  <si>
    <t>正定中证1000指数增强1号B类</t>
  </si>
  <si>
    <t>2023-10-27</t>
  </si>
  <si>
    <t>上海华年</t>
  </si>
  <si>
    <t>华年中证1000指数增强1号</t>
  </si>
  <si>
    <t>2025-03-26</t>
  </si>
  <si>
    <t>龙旗1000指增6号</t>
  </si>
  <si>
    <t>2023-03-09</t>
  </si>
  <si>
    <t>超量子中证1000增强9号</t>
  </si>
  <si>
    <t>南京倍漾</t>
  </si>
  <si>
    <t>倍漾中证1000指数增强1期</t>
  </si>
  <si>
    <t>2022-12-30</t>
  </si>
  <si>
    <t>半鞅中证1000指数增强1号</t>
  </si>
  <si>
    <t>2022-07-06</t>
  </si>
  <si>
    <t>远和可颂1号</t>
  </si>
  <si>
    <t>2025-03-28</t>
  </si>
  <si>
    <t>衍合1000指数增强1号</t>
  </si>
  <si>
    <t>2021-12-31</t>
  </si>
  <si>
    <t>上海天鹭</t>
  </si>
  <si>
    <t>天鹭中证1000指数增强A类</t>
  </si>
  <si>
    <t>2026-01-09</t>
  </si>
  <si>
    <t>北京峰汇</t>
  </si>
  <si>
    <t>诺峰汇价值精选15号</t>
  </si>
  <si>
    <t>2023-02-10</t>
  </si>
  <si>
    <t>上海绰瑞</t>
  </si>
  <si>
    <t>绰瑞北岳28号</t>
  </si>
  <si>
    <t>2021-11-05</t>
  </si>
  <si>
    <t>北京林道资管</t>
  </si>
  <si>
    <t>林道铠甲增强1000</t>
  </si>
  <si>
    <t>2022-09-05</t>
  </si>
  <si>
    <t>鸣熙天玑中证1000指数增强尊享1号</t>
  </si>
  <si>
    <t>2023-08-17</t>
  </si>
  <si>
    <t>佑诗启航进取1号</t>
  </si>
  <si>
    <t>2021-09-22</t>
  </si>
  <si>
    <t>上海柔微</t>
  </si>
  <si>
    <t>柔微量化中证1000指数增强1号C类</t>
  </si>
  <si>
    <t>2025-07-23</t>
  </si>
  <si>
    <t>北京艳珍</t>
  </si>
  <si>
    <t>艳珍中证1000指数增强</t>
  </si>
  <si>
    <t>2023-01-03</t>
  </si>
  <si>
    <t>上海泓原</t>
  </si>
  <si>
    <t>泓原香湾中证1000指数增强1号</t>
  </si>
  <si>
    <t>2024-08-09</t>
  </si>
  <si>
    <t>深圳福克斯投资</t>
  </si>
  <si>
    <t>福克斯-准星宙斯盾壹号</t>
  </si>
  <si>
    <t>2021-06-21</t>
  </si>
  <si>
    <t>量派中证1000增强12号C类</t>
  </si>
  <si>
    <t>2021-04-13</t>
  </si>
  <si>
    <t>深圳翰荣</t>
  </si>
  <si>
    <t>翰荣中证1000指数增强一号</t>
  </si>
  <si>
    <t>2025-08-01</t>
  </si>
  <si>
    <t>上海稳博投资</t>
  </si>
  <si>
    <t>稳博中证1000指数增强18号</t>
  </si>
  <si>
    <t>榕树海中证1000指数增强1号</t>
  </si>
  <si>
    <t>2024-12-13</t>
  </si>
  <si>
    <t>银叶中证1000量化智选</t>
  </si>
  <si>
    <t>2022-10-19</t>
  </si>
  <si>
    <t>量宇中证1000指数增强1号</t>
  </si>
  <si>
    <t>上海弈泰</t>
  </si>
  <si>
    <t>弈泰瑞增1000八期B类</t>
  </si>
  <si>
    <t>2022-08-26</t>
  </si>
  <si>
    <t>海南盛丰</t>
  </si>
  <si>
    <t>盛丰盛乾中证1000指数增强8号</t>
  </si>
  <si>
    <t>2022-08-01</t>
  </si>
  <si>
    <t>巨量均衡中证1000进取型指数增强一号</t>
  </si>
  <si>
    <t>无隅鲲鹏1000三号</t>
  </si>
  <si>
    <t>2022-12-07</t>
  </si>
  <si>
    <t>长鲸探寻进取1号</t>
  </si>
  <si>
    <t>2025-02-05</t>
  </si>
  <si>
    <t>泉州二象</t>
  </si>
  <si>
    <t>二象中证1000量化多策略1号</t>
  </si>
  <si>
    <t>2023-04-21</t>
  </si>
  <si>
    <t>顽岩金选中证1000指数增强1号</t>
  </si>
  <si>
    <t>2024-03-19</t>
  </si>
  <si>
    <t>安子极客中证1000增强一号A类</t>
  </si>
  <si>
    <t>2022-08-15</t>
  </si>
  <si>
    <t>天演金选股票量化优选1号</t>
  </si>
  <si>
    <t>2021-09-16</t>
  </si>
  <si>
    <t>紫竹二号</t>
  </si>
  <si>
    <t>2017-09-22</t>
  </si>
  <si>
    <t>厦门中闽汇金</t>
  </si>
  <si>
    <t>中闽汇金量化1号</t>
  </si>
  <si>
    <t>2000指增</t>
  </si>
  <si>
    <t>2019-11-25</t>
  </si>
  <si>
    <t>无涯中证2000指数增强1号</t>
  </si>
  <si>
    <t>2025-06-03</t>
  </si>
  <si>
    <t>千衍六和36号2000增强</t>
  </si>
  <si>
    <t>2024-10-18</t>
  </si>
  <si>
    <t>托特中证2000指数增强5号</t>
  </si>
  <si>
    <t>2025-03-07</t>
  </si>
  <si>
    <t>橡木中证2000指数增强</t>
  </si>
  <si>
    <t>2025-08-04</t>
  </si>
  <si>
    <t>超量子中证2000增强2号</t>
  </si>
  <si>
    <t>2023-09-27</t>
  </si>
  <si>
    <t>磐松微盘股指数增强1号</t>
  </si>
  <si>
    <t>量派中证2000指数增强2号B类</t>
  </si>
  <si>
    <t>2020-10-29</t>
  </si>
  <si>
    <t>蒙玺国证2000指数量化1号</t>
  </si>
  <si>
    <t>2022-02-21</t>
  </si>
  <si>
    <t>上海太衍</t>
  </si>
  <si>
    <t>太衍光年中证2000指数增强2号</t>
  </si>
  <si>
    <t>2025-08-08</t>
  </si>
  <si>
    <t>平方和鼎盛中证2000指数增强21号</t>
  </si>
  <si>
    <t>2023-12-29</t>
  </si>
  <si>
    <t>榕树海中证2000指数增强进取1号</t>
  </si>
  <si>
    <t>2025-03-10</t>
  </si>
  <si>
    <t>衍合2000指数增强1号</t>
  </si>
  <si>
    <t>2022-01-20</t>
  </si>
  <si>
    <t>上海中兰</t>
  </si>
  <si>
    <t>中兰立华1号</t>
  </si>
  <si>
    <t>2023-10-19</t>
  </si>
  <si>
    <t>鲁民投中证2000指数增强一号</t>
  </si>
  <si>
    <t>2023-08-11</t>
  </si>
  <si>
    <t>远和可期1号</t>
  </si>
  <si>
    <t>上海通怡投资</t>
  </si>
  <si>
    <t>通怡主动股基增强5号</t>
  </si>
  <si>
    <t>上海正瀛资管</t>
  </si>
  <si>
    <t>正瀛骐骥中证2000指数增强2号</t>
  </si>
  <si>
    <t>2025-10-10</t>
  </si>
  <si>
    <t>宽德鸿图7号国证2000指数增强二期</t>
  </si>
  <si>
    <t>深圳证金投资</t>
  </si>
  <si>
    <t>益清证金玄德1号量化</t>
  </si>
  <si>
    <t>2022-09-26</t>
  </si>
  <si>
    <t>天鹭添福股票量化优选一号</t>
  </si>
  <si>
    <t>2026-03-17</t>
  </si>
  <si>
    <t>玄信2000指数增强1号</t>
  </si>
  <si>
    <t>2021-10-18</t>
  </si>
  <si>
    <t>北京涵德投资</t>
  </si>
  <si>
    <t>涵德明德中证2000指数增强1号</t>
  </si>
  <si>
    <t>巨量均衡中证2000进取型指数增强一号</t>
  </si>
  <si>
    <t>2022-06-24</t>
  </si>
  <si>
    <t>海南盛冠达</t>
  </si>
  <si>
    <t>盛冠达小市值量化增强</t>
  </si>
  <si>
    <t>另类指增</t>
  </si>
  <si>
    <t>2017-05-04</t>
  </si>
  <si>
    <t>上海杨湜投资</t>
  </si>
  <si>
    <t>杨湜微盘股增强1号</t>
  </si>
  <si>
    <t>2023-08-22</t>
  </si>
  <si>
    <t>龙旗科技创新精选13号1期</t>
  </si>
  <si>
    <t>2024-01-31</t>
  </si>
  <si>
    <t>衍盛中证A500指数增强建享2号</t>
  </si>
  <si>
    <t>A500指增</t>
  </si>
  <si>
    <t>2024-12-04</t>
  </si>
  <si>
    <t>星阔山海6号股票优选</t>
  </si>
  <si>
    <t>红利指增</t>
  </si>
  <si>
    <t>2021-07-26</t>
  </si>
  <si>
    <t>宽德中证A500指数增强臻享一期</t>
  </si>
  <si>
    <t>鸣熙东升红利指数增强1号</t>
  </si>
  <si>
    <t>2026-03-18</t>
  </si>
  <si>
    <t>蒙玺中证A500指数量化1号</t>
  </si>
  <si>
    <t>九坤元朔中证A500指数增强27号</t>
  </si>
  <si>
    <t>2025-12-19</t>
  </si>
  <si>
    <t>鸣熙沪港深红利精选1号</t>
  </si>
  <si>
    <t>2024-12-25</t>
  </si>
  <si>
    <t>磐松红利指数增强1号</t>
  </si>
  <si>
    <t>2024-02-23</t>
  </si>
  <si>
    <t>锐天A500指增1号</t>
  </si>
  <si>
    <t>德合久利A500一号</t>
  </si>
  <si>
    <t>正定中证A500指数增强2号</t>
  </si>
  <si>
    <t>2025-01-06</t>
  </si>
  <si>
    <t>子午中证A500指数增强一号</t>
  </si>
  <si>
    <t>2025-01-09</t>
  </si>
  <si>
    <t>星阔南山1号红利低波100指数增强</t>
  </si>
  <si>
    <t>2022-01-13</t>
  </si>
  <si>
    <t>托特A500指数增强1号</t>
  </si>
  <si>
    <t>2024-11-15</t>
  </si>
  <si>
    <t>海南茂源量化</t>
  </si>
  <si>
    <t>茂源量化中证A500指数增强1号C类</t>
  </si>
  <si>
    <t>省心享千朔中证A500兴泰1号B类</t>
  </si>
  <si>
    <t>2025-02-26</t>
  </si>
  <si>
    <t>上海满风资管</t>
  </si>
  <si>
    <t>满风积分2号中证500指数增强</t>
  </si>
  <si>
    <t>2022-02-16</t>
  </si>
  <si>
    <t>华年A500指数增强1号</t>
  </si>
  <si>
    <t>2024-12-10</t>
  </si>
  <si>
    <t>长鲸中证A500指数增强1号</t>
  </si>
  <si>
    <t>2024-11-20</t>
  </si>
  <si>
    <t>榕树海中证A500指数增强1号</t>
  </si>
  <si>
    <t>2025-06-26</t>
  </si>
  <si>
    <t>今通龙选核心A500指数增强</t>
  </si>
  <si>
    <t>2025-06-12</t>
  </si>
  <si>
    <t>聚宽东享A500指数增强一号</t>
  </si>
  <si>
    <t>2025-06-18</t>
  </si>
  <si>
    <t>盖亚青柯A500指数增强1号</t>
  </si>
  <si>
    <t>2025-05-07</t>
  </si>
  <si>
    <t>杭州水碓泉资管</t>
  </si>
  <si>
    <t>碓泉可变阿尔法进取二号</t>
  </si>
  <si>
    <t>量化选股</t>
  </si>
  <si>
    <t>2024-11-19</t>
  </si>
  <si>
    <t>北京沃虎</t>
  </si>
  <si>
    <t>沃虎进取1号</t>
  </si>
  <si>
    <t>2023-08-08</t>
  </si>
  <si>
    <t>深圳前海汇富联合</t>
  </si>
  <si>
    <t>汇富联合远方1号</t>
  </si>
  <si>
    <t>2022-08-19</t>
  </si>
  <si>
    <t>盛冠达股票量化2号</t>
  </si>
  <si>
    <t>2016-06-27</t>
  </si>
  <si>
    <t>上海上衍</t>
  </si>
  <si>
    <t>上衍投资开阳6号</t>
  </si>
  <si>
    <t>全成基金</t>
  </si>
  <si>
    <t>全成阳韬量化</t>
  </si>
  <si>
    <t>宽辅臻好精选1号</t>
  </si>
  <si>
    <t>湖南小熊猫</t>
  </si>
  <si>
    <t>小熊猫长丰1号</t>
  </si>
  <si>
    <t>2022-01-24</t>
  </si>
  <si>
    <t>上海翼丰投资</t>
  </si>
  <si>
    <t>翼丰稳健5号基金</t>
  </si>
  <si>
    <t>2016-08-01</t>
  </si>
  <si>
    <t>宁波数法</t>
  </si>
  <si>
    <t>数法天璇量化优选B类</t>
  </si>
  <si>
    <t>2025-05-15</t>
  </si>
  <si>
    <t>量盈日升专享6号</t>
  </si>
  <si>
    <t>2025-07-17</t>
  </si>
  <si>
    <t>宁波云起量化</t>
  </si>
  <si>
    <t>云起量选17号</t>
  </si>
  <si>
    <t>2025-04-14</t>
  </si>
  <si>
    <t>上海紫杰</t>
  </si>
  <si>
    <t>紫杰宏阳1号</t>
  </si>
  <si>
    <t>广州量量资管</t>
  </si>
  <si>
    <t>量量资产和得</t>
  </si>
  <si>
    <t>2018-05-31</t>
  </si>
  <si>
    <t>因诺量化选股1号</t>
  </si>
  <si>
    <t>2021-10-11</t>
  </si>
  <si>
    <t>大道萑苇量化选股</t>
  </si>
  <si>
    <t>2020-09-17</t>
  </si>
  <si>
    <t>深圳渡苇</t>
  </si>
  <si>
    <t>渡苇北洋1号</t>
  </si>
  <si>
    <t>海南哲源</t>
  </si>
  <si>
    <t>哲源投资MEGA2号</t>
  </si>
  <si>
    <t>磐松全市场指数增强1号</t>
  </si>
  <si>
    <t>2023-06-01</t>
  </si>
  <si>
    <t>正合青云1号</t>
  </si>
  <si>
    <t>2025-07-16</t>
  </si>
  <si>
    <t>乾元资始AI指数增强11号</t>
  </si>
  <si>
    <t>2024-04-25</t>
  </si>
  <si>
    <t>上海泓赫投资</t>
  </si>
  <si>
    <t>泓赫股票精选</t>
  </si>
  <si>
    <t>2022-06-27</t>
  </si>
  <si>
    <t>托特量化优选1号</t>
  </si>
  <si>
    <t>2022-08-12</t>
  </si>
  <si>
    <t>理博万象7号</t>
  </si>
  <si>
    <t>2022-03-31</t>
  </si>
  <si>
    <t>上海蝶威</t>
  </si>
  <si>
    <t>蝶威基本面量化1号</t>
  </si>
  <si>
    <t>同温层全市场增强1号</t>
  </si>
  <si>
    <t>2022-03-18</t>
  </si>
  <si>
    <t>上海福邑</t>
  </si>
  <si>
    <t>福邑小老虎一号</t>
  </si>
  <si>
    <t>北京华钧广汇投资</t>
  </si>
  <si>
    <t>华钧开曜2期B类</t>
  </si>
  <si>
    <t>华年进取2号</t>
  </si>
  <si>
    <t>2024-08-05</t>
  </si>
  <si>
    <t>哲源投资鲲鹏1号</t>
  </si>
  <si>
    <t>2024-04-15</t>
  </si>
  <si>
    <t>北京信弘天禾投资</t>
  </si>
  <si>
    <t>信弘征程62号1期量化</t>
  </si>
  <si>
    <t>2024-03-20</t>
  </si>
  <si>
    <t>橡木闻潮二号</t>
  </si>
  <si>
    <t>2019-04-11</t>
  </si>
  <si>
    <t>超量子省心享量选1号</t>
  </si>
  <si>
    <t>2024-07-16</t>
  </si>
  <si>
    <t>上海彬元资管</t>
  </si>
  <si>
    <t>彬元天源量化</t>
  </si>
  <si>
    <t>2025-04-07</t>
  </si>
  <si>
    <t>浙江安诚数盈投资</t>
  </si>
  <si>
    <t>安诚数盈安越择时1号</t>
  </si>
  <si>
    <t>2019-07-22</t>
  </si>
  <si>
    <t>上海天倚道投资</t>
  </si>
  <si>
    <t>天倚道元锦1号</t>
  </si>
  <si>
    <t>2022-12-08</t>
  </si>
  <si>
    <t>天戈恒锐八号</t>
  </si>
  <si>
    <t>2023-12-27</t>
  </si>
  <si>
    <t>孝庸魔方汇股票优选五号</t>
  </si>
  <si>
    <t>2025-07-22</t>
  </si>
  <si>
    <t>广州或恪投资</t>
  </si>
  <si>
    <t>或恪知行智维1号</t>
  </si>
  <si>
    <t>2018-04-17</t>
  </si>
  <si>
    <t>天演赛能基金</t>
  </si>
  <si>
    <t>2016-05-04</t>
  </si>
  <si>
    <t>深圳德远投资</t>
  </si>
  <si>
    <t>德远海柴量化1号</t>
  </si>
  <si>
    <t>2022-05-09</t>
  </si>
  <si>
    <t>烟台宏桥</t>
  </si>
  <si>
    <t>宏桥合兴量化一号</t>
  </si>
  <si>
    <t>2021-09-28</t>
  </si>
  <si>
    <t>宽投幸运星11号</t>
  </si>
  <si>
    <t>2023-04-04</t>
  </si>
  <si>
    <t>珠海山海投资</t>
  </si>
  <si>
    <t>山海领航多策略量化1号</t>
  </si>
  <si>
    <t>2020-07-29</t>
  </si>
  <si>
    <t>衍盛铭量智选1号</t>
  </si>
  <si>
    <t>2021-09-29</t>
  </si>
  <si>
    <t>锦徽乐风1号</t>
  </si>
  <si>
    <t>2023-11-22</t>
  </si>
  <si>
    <t>北京宽源资管</t>
  </si>
  <si>
    <t>宽源稳健增长1期</t>
  </si>
  <si>
    <t>2023-01-12</t>
  </si>
  <si>
    <t>茂源量化选股8号A类</t>
  </si>
  <si>
    <t>2023-07-06</t>
  </si>
  <si>
    <t>前海量创投资</t>
  </si>
  <si>
    <t>量创量化股票优选1号</t>
  </si>
  <si>
    <t>2025-04-15</t>
  </si>
  <si>
    <t>大岩量化选股1号</t>
  </si>
  <si>
    <t>2022-08-29</t>
  </si>
  <si>
    <t>稳博量化选股匠心系列1号</t>
  </si>
  <si>
    <t>广东凡德投资</t>
  </si>
  <si>
    <t>凡德成长</t>
  </si>
  <si>
    <t>2022-08-08</t>
  </si>
  <si>
    <t>上海宽德飞虹5号</t>
  </si>
  <si>
    <t>2022-08-09</t>
  </si>
  <si>
    <t>倍漾量化选股一期</t>
  </si>
  <si>
    <t>2023-11-23</t>
  </si>
  <si>
    <t>龙旗股票量化多头1号</t>
  </si>
  <si>
    <t>2021-09-01</t>
  </si>
  <si>
    <t>仲阳博观量化选股1号</t>
  </si>
  <si>
    <t>2021-10-28</t>
  </si>
  <si>
    <t>半鞅量化精选</t>
  </si>
  <si>
    <t>绰瑞北岳25号</t>
  </si>
  <si>
    <t>2021-10-14</t>
  </si>
  <si>
    <t>杭州嘉澳领先</t>
  </si>
  <si>
    <t>嘉澳量化-盈辉1号</t>
  </si>
  <si>
    <t>广东辰元</t>
  </si>
  <si>
    <t>辰元进取3号</t>
  </si>
  <si>
    <t>2024-04-18</t>
  </si>
  <si>
    <t>鸣熙新质精选1号</t>
  </si>
  <si>
    <t>2024-10-29</t>
  </si>
  <si>
    <t>上海国领资管</t>
  </si>
  <si>
    <t>国领-创新驱动优选100</t>
  </si>
  <si>
    <t>2021-06-04</t>
  </si>
  <si>
    <t>涌现脉冲1号</t>
  </si>
  <si>
    <t>北京中金量化</t>
  </si>
  <si>
    <t>中金量化-贝叶斯稳健1号</t>
  </si>
  <si>
    <t>2020-12-22</t>
  </si>
  <si>
    <t>子午量化选股七号</t>
  </si>
  <si>
    <t>2024-03-25</t>
  </si>
  <si>
    <t>上海东恺投资</t>
  </si>
  <si>
    <t>东恺多资产ETF轮动一号</t>
  </si>
  <si>
    <t>杭州黑玺</t>
  </si>
  <si>
    <t>黑玺智选3号</t>
  </si>
  <si>
    <t>2025-08-12</t>
  </si>
  <si>
    <t>正定量化选股1号</t>
  </si>
  <si>
    <t>2025-02-12</t>
  </si>
  <si>
    <t>银叶量化进取6期</t>
  </si>
  <si>
    <t>2021-08-12</t>
  </si>
  <si>
    <t>榕树海鲲鹏1号</t>
  </si>
  <si>
    <t>2025-04-11</t>
  </si>
  <si>
    <t>上海量魁</t>
  </si>
  <si>
    <t>量魁Alpha三号</t>
  </si>
  <si>
    <t>2021-09-14</t>
  </si>
  <si>
    <t>柔微量化选股1号D类</t>
  </si>
  <si>
    <t>2025-11-17</t>
  </si>
  <si>
    <t>远和可旺1号</t>
  </si>
  <si>
    <t>2025-04-22</t>
  </si>
  <si>
    <t>量派聚核42号1期A类</t>
  </si>
  <si>
    <t>2024-12-26</t>
  </si>
  <si>
    <t>盛丰量化选股1号</t>
  </si>
  <si>
    <t>2023-03-15</t>
  </si>
  <si>
    <t>深圳高益</t>
  </si>
  <si>
    <t>高益老杰股纯量化</t>
  </si>
  <si>
    <t>2022-11-03</t>
  </si>
  <si>
    <t>锦福源私享一号B类</t>
  </si>
  <si>
    <t>2024-10-14</t>
  </si>
  <si>
    <t>衍合量化选股进取1号</t>
  </si>
  <si>
    <t>2021-09-30</t>
  </si>
  <si>
    <t>顽岩量化选股1号</t>
  </si>
  <si>
    <t>2025-02-06</t>
  </si>
  <si>
    <t>安子极客量化精选一号A类</t>
  </si>
  <si>
    <t>2023-04-25</t>
  </si>
  <si>
    <t>巨量均衡小微沧海九号</t>
  </si>
  <si>
    <t>2023-12-25</t>
  </si>
  <si>
    <t>翰荣狮子量化精选一号</t>
  </si>
  <si>
    <t>2022-01-14</t>
  </si>
  <si>
    <t>上海橡红</t>
  </si>
  <si>
    <t>橡红筱微1号</t>
  </si>
  <si>
    <t>量宇精选1号</t>
  </si>
  <si>
    <t>成都瑞智和裕投资</t>
  </si>
  <si>
    <t>和裕水木同华二号</t>
  </si>
  <si>
    <t>2020-01-08</t>
  </si>
  <si>
    <t>北京君睿</t>
  </si>
  <si>
    <t>君睿量选对冲1号</t>
  </si>
  <si>
    <t>2024-01-03</t>
  </si>
  <si>
    <t>盖亚青柯刺桐1号</t>
  </si>
  <si>
    <t>2025-06-04</t>
  </si>
  <si>
    <t>江苏柏盈投资</t>
  </si>
  <si>
    <t>柏盈四维量化</t>
  </si>
  <si>
    <t>2020-01-06</t>
  </si>
  <si>
    <t>杭州九慕资管</t>
  </si>
  <si>
    <t>九慕黄龙2号</t>
  </si>
  <si>
    <t>股票多空</t>
  </si>
  <si>
    <t>2021-06-23</t>
  </si>
  <si>
    <t>北京丰润恒道</t>
  </si>
  <si>
    <t>丰润新享量化平衡</t>
  </si>
  <si>
    <t>择时策略</t>
  </si>
  <si>
    <t>2021-12-02</t>
  </si>
  <si>
    <t>磐松多空对冲1号</t>
  </si>
  <si>
    <t>香农金玉满堂量化选股二号</t>
  </si>
  <si>
    <t>2023-11-10</t>
  </si>
  <si>
    <t>浙江铭涛资管</t>
  </si>
  <si>
    <t>铭涛三号</t>
  </si>
  <si>
    <t>2023-01-19</t>
  </si>
  <si>
    <t>广天碧水</t>
  </si>
  <si>
    <t>2022-06-07</t>
  </si>
  <si>
    <t>上海炳富投资</t>
  </si>
  <si>
    <t>炳富红五星2号</t>
  </si>
  <si>
    <t>2022-02-24</t>
  </si>
  <si>
    <t>海南正仁</t>
  </si>
  <si>
    <t>正仁股票择时一期</t>
  </si>
  <si>
    <t>2024-11-22</t>
  </si>
  <si>
    <t>正合元亨1号</t>
  </si>
  <si>
    <t>2026-02-11</t>
  </si>
  <si>
    <t>上海牧鑫</t>
  </si>
  <si>
    <t>牧鑫量化多空1号</t>
  </si>
  <si>
    <t>悦海盈和12号</t>
  </si>
  <si>
    <t>龙旗巨星一号</t>
  </si>
  <si>
    <t>2016-04-15</t>
  </si>
  <si>
    <t>进化论三维启航1号A类</t>
  </si>
  <si>
    <t>2024-12-17</t>
  </si>
  <si>
    <t>上海锴量投资</t>
  </si>
  <si>
    <t>锴量问天一号</t>
  </si>
  <si>
    <t>2022-08-18</t>
  </si>
  <si>
    <t>巨量均衡风暴一号</t>
  </si>
  <si>
    <t>2024-07-18</t>
  </si>
  <si>
    <t>衍盛开阳多策略混合</t>
  </si>
  <si>
    <t>2025-11-06</t>
  </si>
  <si>
    <t>广东致达</t>
  </si>
  <si>
    <t>致达萬贝</t>
  </si>
  <si>
    <t>2022-04-12</t>
  </si>
  <si>
    <t>佑诗启航稳健1号</t>
  </si>
  <si>
    <t>2021-03-12</t>
  </si>
  <si>
    <t>上海嘉鸿</t>
  </si>
  <si>
    <t>嘉鸿璞真1号B类</t>
  </si>
  <si>
    <t>深圳卓德</t>
  </si>
  <si>
    <t>卓德量茂1号</t>
  </si>
  <si>
    <t>2021-02-19</t>
  </si>
  <si>
    <t>北京每利投资</t>
  </si>
  <si>
    <t>每利-蓝天AI中性策略三号</t>
  </si>
  <si>
    <t>2023-03-23</t>
  </si>
  <si>
    <t>上海朴时投资</t>
  </si>
  <si>
    <t>朴时灵动配置聚配一号</t>
  </si>
  <si>
    <t>2024-11-25</t>
  </si>
  <si>
    <t>睿亿投资揽月三期</t>
  </si>
  <si>
    <t>2021-01-18</t>
  </si>
  <si>
    <t>理博红橡中性1号</t>
  </si>
  <si>
    <t>市场中性</t>
  </si>
  <si>
    <t>2022-04-13</t>
  </si>
  <si>
    <t>宽辅思贤专享中性2号</t>
  </si>
  <si>
    <t>2024-01-04</t>
  </si>
  <si>
    <t>宁波霁泽投资</t>
  </si>
  <si>
    <t>霁泽夏天量化进取1号</t>
  </si>
  <si>
    <t>竹润乐享量化对冲2号</t>
  </si>
  <si>
    <t>2022-07-21</t>
  </si>
  <si>
    <t>衍盛量化精选一期</t>
  </si>
  <si>
    <t>2018-10-31</t>
  </si>
  <si>
    <t>量盈量化对冲二号</t>
  </si>
  <si>
    <t>上海橡杉资管</t>
  </si>
  <si>
    <t>橡杉全天候十一号</t>
  </si>
  <si>
    <t>2020-12-01</t>
  </si>
  <si>
    <t>安值中盛量化1号</t>
  </si>
  <si>
    <t>2020-07-28</t>
  </si>
  <si>
    <t>无涯量化对冲1号</t>
  </si>
  <si>
    <t>2025-05-09</t>
  </si>
  <si>
    <t>磐松市场中性进取1号</t>
  </si>
  <si>
    <t>2023-07-19</t>
  </si>
  <si>
    <t>浙江桥睿资管</t>
  </si>
  <si>
    <t>桥睿661</t>
  </si>
  <si>
    <t>2018-08-10</t>
  </si>
  <si>
    <t>铭涛二号</t>
  </si>
  <si>
    <t>同亨财掌柜二十八号</t>
  </si>
  <si>
    <t>2019-11-27</t>
  </si>
  <si>
    <t>锦徽乐风3号</t>
  </si>
  <si>
    <t>2025-08-19</t>
  </si>
  <si>
    <t>上海瑞氪资管</t>
  </si>
  <si>
    <t>瑞氪量化对冲1号</t>
  </si>
  <si>
    <t>正合景行1号</t>
  </si>
  <si>
    <t>2025-02-24</t>
  </si>
  <si>
    <t>青琰诚杰一号</t>
  </si>
  <si>
    <t>2024-07-26</t>
  </si>
  <si>
    <t>青琰信达一号</t>
  </si>
  <si>
    <t>股票T0</t>
  </si>
  <si>
    <t>2024-04-30</t>
  </si>
  <si>
    <t>上海骞瑞</t>
  </si>
  <si>
    <t>骞瑞和致一号</t>
  </si>
  <si>
    <t>2019-09-26</t>
  </si>
  <si>
    <t>横琴米纳资管</t>
  </si>
  <si>
    <t>米纳中性对冲尊享1号</t>
  </si>
  <si>
    <t>2023-04-18</t>
  </si>
  <si>
    <t>牧鑫明鑫对冲1号</t>
  </si>
  <si>
    <t>同温层量化阿尔法1号</t>
  </si>
  <si>
    <t>2020-05-25</t>
  </si>
  <si>
    <t>上海金锝资管</t>
  </si>
  <si>
    <t>金锝6号尊享C期</t>
  </si>
  <si>
    <t>2014-09-19</t>
  </si>
  <si>
    <t>超量子量化中性1号</t>
  </si>
  <si>
    <t>大道白驹</t>
  </si>
  <si>
    <t>2017-08-04</t>
  </si>
  <si>
    <t>盛恒八号市场中性量化对冲</t>
  </si>
  <si>
    <t>长兴星际</t>
  </si>
  <si>
    <t>星际13号</t>
  </si>
  <si>
    <t>2021-09-24</t>
  </si>
  <si>
    <t>孝庸市场中性一号B类</t>
  </si>
  <si>
    <t>2023-06-29</t>
  </si>
  <si>
    <t>惠隆量化17号</t>
  </si>
  <si>
    <t>2020-03-17</t>
  </si>
  <si>
    <t>千衍三涛30号</t>
  </si>
  <si>
    <t>2024-04-24</t>
  </si>
  <si>
    <t>香农尊享2号</t>
  </si>
  <si>
    <t>2023-07-25</t>
  </si>
  <si>
    <t>平方和衡盛10号</t>
  </si>
  <si>
    <t>2022-08-23</t>
  </si>
  <si>
    <t>榕树海有容1号</t>
  </si>
  <si>
    <t>深圳博普科技</t>
  </si>
  <si>
    <t>博普跨市场1号B类</t>
  </si>
  <si>
    <t>2016-11-21</t>
  </si>
  <si>
    <t>宁波罗维盈安投资</t>
  </si>
  <si>
    <t>罗维盈安量化对冲春晓1号</t>
  </si>
  <si>
    <t>2023-02-16</t>
  </si>
  <si>
    <t>正仁春晓中性</t>
  </si>
  <si>
    <t>2023-07-24</t>
  </si>
  <si>
    <t>锴量问天二号</t>
  </si>
  <si>
    <t>2023-08-31</t>
  </si>
  <si>
    <t>悦海盈和7号</t>
  </si>
  <si>
    <t>图灵灵活对冲1号</t>
  </si>
  <si>
    <t>2021-04-07</t>
  </si>
  <si>
    <t>艳珍山水1号</t>
  </si>
  <si>
    <t>柔微量化中性多空1号C类</t>
  </si>
  <si>
    <t>2025-11-24</t>
  </si>
  <si>
    <t>深度聚配专享量化0号B类</t>
  </si>
  <si>
    <t>2025-05-27</t>
  </si>
  <si>
    <t>蒙玺分形2号</t>
  </si>
  <si>
    <t>2019-05-27</t>
  </si>
  <si>
    <t>大岩市场中性2号A类</t>
  </si>
  <si>
    <t>2019-03-18</t>
  </si>
  <si>
    <t>上海坤望</t>
  </si>
  <si>
    <t>坤望量化对冲5号</t>
  </si>
  <si>
    <t>2023-04-06</t>
  </si>
  <si>
    <t>会世量化对冲1号</t>
  </si>
  <si>
    <t>无隅磐石五号</t>
  </si>
  <si>
    <t>2023-11-08</t>
  </si>
  <si>
    <t>正瀛骐骥15号</t>
  </si>
  <si>
    <t>2023-09-20</t>
  </si>
  <si>
    <t>厦门熙典</t>
  </si>
  <si>
    <t>熙典基金布赫拉迪2号</t>
  </si>
  <si>
    <t>倍漾优博一号A期量化</t>
  </si>
  <si>
    <t>上海艾悉</t>
  </si>
  <si>
    <t>艾悉财赋8号</t>
  </si>
  <si>
    <t>2022-06-21</t>
  </si>
  <si>
    <t>正定量化对冲1号</t>
  </si>
  <si>
    <t>2023-12-07</t>
  </si>
  <si>
    <t>杭州波粒二象</t>
  </si>
  <si>
    <t>杭州波粒二象复合中性1号</t>
  </si>
  <si>
    <t>2024-06-17</t>
  </si>
  <si>
    <t>北京星鹏联海</t>
  </si>
  <si>
    <t>联海星辰3号</t>
  </si>
  <si>
    <t>2019-05-10</t>
  </si>
  <si>
    <t>盛冠达时代匠心19号</t>
  </si>
  <si>
    <t>2021-12-09</t>
  </si>
  <si>
    <t>上海玉数投资</t>
  </si>
  <si>
    <t>玉数涵瑞六号</t>
  </si>
  <si>
    <t>2019-09-27</t>
  </si>
  <si>
    <t>鲁民投量化对冲二号</t>
  </si>
  <si>
    <t>2023-01-20</t>
  </si>
  <si>
    <t>杭州阳泽</t>
  </si>
  <si>
    <t>阳泽中性一号</t>
  </si>
  <si>
    <t>2021-04-21</t>
  </si>
  <si>
    <t>鲁民投量化对冲二号B类</t>
  </si>
  <si>
    <t>半鞅量化对冲1号</t>
  </si>
  <si>
    <t>2022-05-25</t>
  </si>
  <si>
    <t>鸣熙量化中性1号</t>
  </si>
  <si>
    <t>2023-04-26</t>
  </si>
  <si>
    <t>龙旗紫微量化对冲基金</t>
  </si>
  <si>
    <t>2014-12-09</t>
  </si>
  <si>
    <t>海南无量</t>
  </si>
  <si>
    <t>无量宏观量化多策略7号</t>
  </si>
  <si>
    <t>2019-09-20</t>
  </si>
  <si>
    <t>彬元量化市场中性1号</t>
  </si>
  <si>
    <t>2025-06-20</t>
  </si>
  <si>
    <t>上海锋滔资管</t>
  </si>
  <si>
    <t>锋滔鑫起点对冲8号</t>
  </si>
  <si>
    <t>2022-06-15</t>
  </si>
  <si>
    <t>托特信享300对冲1号</t>
  </si>
  <si>
    <t>玄信市场中性2号</t>
  </si>
  <si>
    <t>2021-06-29</t>
  </si>
  <si>
    <t>衍合量化市场中性1号</t>
  </si>
  <si>
    <t>2020-08-25</t>
  </si>
  <si>
    <t>中兰晶耀桃李</t>
  </si>
  <si>
    <t>2023-06-28</t>
  </si>
  <si>
    <t>福克斯-珊瑚二号</t>
  </si>
  <si>
    <t>2024-08-27</t>
  </si>
  <si>
    <t>量魁Alpha三号B类</t>
  </si>
  <si>
    <t>绰瑞金轮7号</t>
  </si>
  <si>
    <t>2022-07-26</t>
  </si>
  <si>
    <t>顽岩东方路</t>
  </si>
  <si>
    <t>天演招阳2号</t>
  </si>
  <si>
    <t>2020-11-05</t>
  </si>
  <si>
    <t>子午安心十九号</t>
  </si>
  <si>
    <t>锐天麦克斯韦二号</t>
  </si>
  <si>
    <t>2018-11-30</t>
  </si>
  <si>
    <t>远和可安1号</t>
  </si>
  <si>
    <t>2025-04-24</t>
  </si>
  <si>
    <t>众量资产聚宝5号</t>
  </si>
  <si>
    <t>2025-04-28</t>
  </si>
  <si>
    <t>华年中性1号</t>
  </si>
  <si>
    <t>2024-07-30</t>
  </si>
  <si>
    <t>洺沣赛博4号</t>
  </si>
  <si>
    <t>2021-12-23</t>
  </si>
  <si>
    <t>量派对冲9号</t>
  </si>
  <si>
    <t>2020-11-04</t>
  </si>
  <si>
    <t>上海鸣石</t>
  </si>
  <si>
    <t>鸣石对冲均衡27号量化</t>
  </si>
  <si>
    <t>2025-11-26</t>
  </si>
  <si>
    <t>翰荣天秤量化对冲三号</t>
  </si>
  <si>
    <t>2024-03-14</t>
  </si>
  <si>
    <t>满风微分1号市场中性</t>
  </si>
  <si>
    <t>2022-09-16</t>
  </si>
  <si>
    <t>上海元图</t>
  </si>
  <si>
    <t>元图中性1号</t>
  </si>
  <si>
    <t>2023-02-24</t>
  </si>
  <si>
    <t>盛丰烁今1号</t>
  </si>
  <si>
    <t>2023-05-09</t>
  </si>
  <si>
    <t>嘉鸿循利1号</t>
  </si>
  <si>
    <t>2022-04-21</t>
  </si>
  <si>
    <t>蝶威醇享2号</t>
  </si>
  <si>
    <t>安子心夏多策略一号A类</t>
  </si>
  <si>
    <t>上海幂数资管</t>
  </si>
  <si>
    <t>幂数阿尔法一号</t>
  </si>
  <si>
    <t>2017-09-28</t>
  </si>
  <si>
    <t>中海外钜融资管</t>
  </si>
  <si>
    <t>钜融景诚1号A类</t>
  </si>
  <si>
    <t>可转债多头</t>
  </si>
  <si>
    <t>2019-05-29</t>
  </si>
  <si>
    <t>上海汉鸿</t>
  </si>
  <si>
    <t>汉盛晓希1号</t>
  </si>
  <si>
    <t>2022-03-21</t>
  </si>
  <si>
    <t>汉盛新千禧壹号</t>
  </si>
  <si>
    <t>2022-08-16</t>
  </si>
  <si>
    <t>海南哈希</t>
  </si>
  <si>
    <t>哈希可转债指数增强1号</t>
  </si>
  <si>
    <t>深圳优美利投资</t>
  </si>
  <si>
    <t>优美利金安长牛2号</t>
  </si>
  <si>
    <t>2020-04-27</t>
  </si>
  <si>
    <t>上海赢仕投资</t>
  </si>
  <si>
    <t>赢仕安盈二号</t>
  </si>
  <si>
    <t>2020-08-12</t>
  </si>
  <si>
    <t>上海乾嘉量弈</t>
  </si>
  <si>
    <t>乾嘉可转债变频1号</t>
  </si>
  <si>
    <t>2023-08-29</t>
  </si>
  <si>
    <t>北京毅桥</t>
  </si>
  <si>
    <t>毅桥新石一期</t>
  </si>
  <si>
    <t>上海珠池资管</t>
  </si>
  <si>
    <t>珠池可转债量化精选2期</t>
  </si>
  <si>
    <t>2017-11-10</t>
  </si>
  <si>
    <t>杭州谦信投资</t>
  </si>
  <si>
    <t>谦信新视野</t>
  </si>
  <si>
    <t>2019-12-16</t>
  </si>
  <si>
    <t>本利达利磐十二号</t>
  </si>
  <si>
    <t>2022-06-17</t>
  </si>
  <si>
    <t>安值福慧量化5号A类</t>
  </si>
  <si>
    <t>2019-04-17</t>
  </si>
  <si>
    <t>云南汇誉</t>
  </si>
  <si>
    <t>汇誉杰曜混合1号</t>
  </si>
  <si>
    <t>仟贝长盈稳健1号</t>
  </si>
  <si>
    <t>2022-09-20</t>
  </si>
  <si>
    <t>汇富联合惊鸿1号</t>
  </si>
  <si>
    <t>2022-09-22</t>
  </si>
  <si>
    <t>上海悬铃</t>
  </si>
  <si>
    <t>悬铃A号</t>
  </si>
  <si>
    <t>2018-02-02</t>
  </si>
  <si>
    <t>上海百奕投资</t>
  </si>
  <si>
    <t>百奕低波可转债B类</t>
  </si>
  <si>
    <t>2022-02-28</t>
  </si>
  <si>
    <t>兴途垦禾可转债进取</t>
  </si>
  <si>
    <t>上海艾方资管</t>
  </si>
  <si>
    <t>星辰之艾方多策略4号</t>
  </si>
  <si>
    <t>2017-10-12</t>
  </si>
  <si>
    <t>安远安享二期</t>
  </si>
  <si>
    <t>2022-11-10</t>
  </si>
  <si>
    <t>上海涌涵</t>
  </si>
  <si>
    <t>涌涵峰云1号</t>
  </si>
  <si>
    <t>主观CTA</t>
  </si>
  <si>
    <t>2021-12-21</t>
  </si>
  <si>
    <t>杭州润洲</t>
  </si>
  <si>
    <t>润洲正行二号A类</t>
  </si>
  <si>
    <t>2019-06-10</t>
  </si>
  <si>
    <t>上海嘉和传承</t>
  </si>
  <si>
    <t>嘉和传承商品对冲一期A类</t>
  </si>
  <si>
    <t>浙江品润投资</t>
  </si>
  <si>
    <t>品润积善一号</t>
  </si>
  <si>
    <t>2022-12-28</t>
  </si>
  <si>
    <t>嘉鸿复利1号</t>
  </si>
  <si>
    <t>2022-08-17</t>
  </si>
  <si>
    <t>北京明睿</t>
  </si>
  <si>
    <t>明睿骁云策略</t>
  </si>
  <si>
    <t>小黑妞星斗1号A类</t>
  </si>
  <si>
    <t>浙江旌安</t>
  </si>
  <si>
    <t>旌安8号</t>
  </si>
  <si>
    <t>天津琨融</t>
  </si>
  <si>
    <t>琨融盛扬一号</t>
  </si>
  <si>
    <t>2023-07-11</t>
  </si>
  <si>
    <t>宁波市甬远投资</t>
  </si>
  <si>
    <t>甬远明月2号</t>
  </si>
  <si>
    <t>杭州艮岳</t>
  </si>
  <si>
    <t>艮岳朝乾1号</t>
  </si>
  <si>
    <t>2022-11-24</t>
  </si>
  <si>
    <t>日出3号</t>
  </si>
  <si>
    <t>2017-05-26</t>
  </si>
  <si>
    <t>上海筑金投资</t>
  </si>
  <si>
    <t>筑金辉煌贰号</t>
  </si>
  <si>
    <t>2021-11-17</t>
  </si>
  <si>
    <t>敦和资管</t>
  </si>
  <si>
    <t>敦和华峰1号</t>
  </si>
  <si>
    <t>浙江金塔克资管</t>
  </si>
  <si>
    <t>金塔克心灵晶华</t>
  </si>
  <si>
    <t>广东观理</t>
  </si>
  <si>
    <t>观理摘金成长1号A类</t>
  </si>
  <si>
    <t>2022-05-12</t>
  </si>
  <si>
    <t>浙江量衍投资</t>
  </si>
  <si>
    <t>量衍商品主观配置安泰1号</t>
  </si>
  <si>
    <t>2024-06-05</t>
  </si>
  <si>
    <t>杭州孚盈投资</t>
  </si>
  <si>
    <t>孚盈香草二号</t>
  </si>
  <si>
    <t>2021-07-14</t>
  </si>
  <si>
    <t>广州龙智投资</t>
  </si>
  <si>
    <t>龙智铿锵CTA恒利1号</t>
  </si>
  <si>
    <t>上海歆享资管</t>
  </si>
  <si>
    <t>歆享海盈13号</t>
  </si>
  <si>
    <t>中高频时序CTA</t>
  </si>
  <si>
    <t>2019-03-29</t>
  </si>
  <si>
    <t>杭州道仑资管</t>
  </si>
  <si>
    <t>道仑量化伏羲一号</t>
  </si>
  <si>
    <t>时序CTA</t>
  </si>
  <si>
    <t>2019-03-27</t>
  </si>
  <si>
    <t>杭州星瀚投资</t>
  </si>
  <si>
    <t>星瀚期指零号</t>
  </si>
  <si>
    <t>股指CTA</t>
  </si>
  <si>
    <t>2024-03-05</t>
  </si>
  <si>
    <t>上海兰盈量投</t>
  </si>
  <si>
    <t>兰盈金期2号</t>
  </si>
  <si>
    <t>上海明丞资管</t>
  </si>
  <si>
    <t>明丞1期</t>
  </si>
  <si>
    <t>2019-08-27</t>
  </si>
  <si>
    <t>因诺CTA1号</t>
  </si>
  <si>
    <t>2020-12-04</t>
  </si>
  <si>
    <t>鸣石CTA先锋进取A号</t>
  </si>
  <si>
    <t>2021-06-30</t>
  </si>
  <si>
    <t>辰元优选进取</t>
  </si>
  <si>
    <t>2023-04-07</t>
  </si>
  <si>
    <t>上海瑞锐投资</t>
  </si>
  <si>
    <t>瑞凯量化1号</t>
  </si>
  <si>
    <t>思瑞二号</t>
  </si>
  <si>
    <t>2016-10-10</t>
  </si>
  <si>
    <t>御澜千川1号</t>
  </si>
  <si>
    <t>2022-01-27</t>
  </si>
  <si>
    <t>半鞅CTA均衡1号</t>
  </si>
  <si>
    <t>2023-01-06</t>
  </si>
  <si>
    <t>杭州尊和资管</t>
  </si>
  <si>
    <t>尊和安盈1号</t>
  </si>
  <si>
    <t>2020-03-03</t>
  </si>
  <si>
    <t>上海千象资产</t>
  </si>
  <si>
    <t>千象长享成长增强68号A类</t>
  </si>
  <si>
    <t>2023-03-22</t>
  </si>
  <si>
    <t>上海乾上泉</t>
  </si>
  <si>
    <t>乾上泉CTA风起一号</t>
  </si>
  <si>
    <t>2025-05-16</t>
  </si>
  <si>
    <t>衍盛天璇CTA一号</t>
  </si>
  <si>
    <t>北京安贤</t>
  </si>
  <si>
    <t>安贤CTA量化一号</t>
  </si>
  <si>
    <t>2023-01-05</t>
  </si>
  <si>
    <t>苏州正源信毅资管</t>
  </si>
  <si>
    <t>正源信毅MF量化1号</t>
  </si>
  <si>
    <t>2021-09-10</t>
  </si>
  <si>
    <t>上海洛书投资</t>
  </si>
  <si>
    <t>洛书管理期货陆号</t>
  </si>
  <si>
    <t>2019-09-30</t>
  </si>
  <si>
    <t>方信华正</t>
  </si>
  <si>
    <t>2021-10-25</t>
  </si>
  <si>
    <t>会世元丰CTA1号</t>
  </si>
  <si>
    <t>2018-07-30</t>
  </si>
  <si>
    <t>无锡睿启</t>
  </si>
  <si>
    <t>睿启稳进1号</t>
  </si>
  <si>
    <t>2020-06-09</t>
  </si>
  <si>
    <t>杭州明得浩伦投资</t>
  </si>
  <si>
    <t>明得浩伦CTA一号</t>
  </si>
  <si>
    <t>2016-02-23</t>
  </si>
  <si>
    <t>千衍六贞21号</t>
  </si>
  <si>
    <t>2025-06-25</t>
  </si>
  <si>
    <t>安徽崇盛投资</t>
  </si>
  <si>
    <t>崇盛常青科技一号</t>
  </si>
  <si>
    <t>2023-11-30</t>
  </si>
  <si>
    <t>杭州博衍</t>
  </si>
  <si>
    <t>博衍九溪CTA1号</t>
  </si>
  <si>
    <t>2023-03-31</t>
  </si>
  <si>
    <t>德贝尊享CTA8号</t>
  </si>
  <si>
    <t>2022-05-20</t>
  </si>
  <si>
    <t>广州传山</t>
  </si>
  <si>
    <t>传山量化CTA轮动昆仑山1号A类</t>
  </si>
  <si>
    <t>上海铭跃</t>
  </si>
  <si>
    <t>铭跃三号</t>
  </si>
  <si>
    <t>2023-02-27</t>
  </si>
  <si>
    <t>不二铭跃二号</t>
  </si>
  <si>
    <t>2022-07-29</t>
  </si>
  <si>
    <t>上海众壹资管</t>
  </si>
  <si>
    <t>众壹资产量合3号</t>
  </si>
  <si>
    <t>2022-10-18</t>
  </si>
  <si>
    <t>广东宏锡基金</t>
  </si>
  <si>
    <t>宏锡量化CTA36号</t>
  </si>
  <si>
    <t>2020-04-20</t>
  </si>
  <si>
    <t>珠海亿佳信资管</t>
  </si>
  <si>
    <t>亿佳信量化1号</t>
  </si>
  <si>
    <t>2022-12-14</t>
  </si>
  <si>
    <t>上海重瑞投资</t>
  </si>
  <si>
    <t>重瑞量化多因子7号</t>
  </si>
  <si>
    <t>厦门龙帆资管</t>
  </si>
  <si>
    <t>龙帆量化CTA1号</t>
  </si>
  <si>
    <t>龙智铿锵CTA恒泰1号</t>
  </si>
  <si>
    <t>2025-05-21</t>
  </si>
  <si>
    <t>上海珏朔资产</t>
  </si>
  <si>
    <t>珏朔逸群量化CTA一号</t>
  </si>
  <si>
    <t>2019-05-14</t>
  </si>
  <si>
    <t>华钧元鼎1期B类</t>
  </si>
  <si>
    <t>2019-01-14</t>
  </si>
  <si>
    <t>上海旭诺资管</t>
  </si>
  <si>
    <t>旭诺CTA一号</t>
  </si>
  <si>
    <t>2017-08-23</t>
  </si>
  <si>
    <t>长沙嘉信融成投资</t>
  </si>
  <si>
    <t>融成上九点金二号</t>
  </si>
  <si>
    <t>2018-10-24</t>
  </si>
  <si>
    <t>每利-班长1号</t>
  </si>
  <si>
    <t>2020-03-27</t>
  </si>
  <si>
    <t>晋江泉智</t>
  </si>
  <si>
    <t>泉智金星量化CTA1号</t>
  </si>
  <si>
    <t>2022-10-31</t>
  </si>
  <si>
    <t>涵德量化15号</t>
  </si>
  <si>
    <t>2024-12-11</t>
  </si>
  <si>
    <t>众量CTA望舒1号</t>
  </si>
  <si>
    <t>2026-04-01</t>
  </si>
  <si>
    <t>浙江和熙资管</t>
  </si>
  <si>
    <t>浙江和熙量化5号</t>
  </si>
  <si>
    <t>2018-06-21</t>
  </si>
  <si>
    <t>华诺投资千里马1号</t>
  </si>
  <si>
    <t>2022-09-21</t>
  </si>
  <si>
    <t>鹰潭滨风投资</t>
  </si>
  <si>
    <t>滨风风云瑞丰1号</t>
  </si>
  <si>
    <t>复合CTA</t>
  </si>
  <si>
    <t>2022-12-02</t>
  </si>
  <si>
    <t>杭州上泽和策</t>
  </si>
  <si>
    <t>上泽磐石CTA量化一号</t>
  </si>
  <si>
    <t>2022-10-11</t>
  </si>
  <si>
    <t>深圳鲲腾</t>
  </si>
  <si>
    <t>鲲腾磐石CTA增强2号</t>
  </si>
  <si>
    <t>上海文谛资管</t>
  </si>
  <si>
    <t>文谛量化优选三号</t>
  </si>
  <si>
    <t>2019-02-13</t>
  </si>
  <si>
    <t>深圳九木</t>
  </si>
  <si>
    <t>九木CTA1号A类</t>
  </si>
  <si>
    <t>厦门世宽</t>
  </si>
  <si>
    <t>世宽若水尘心2号</t>
  </si>
  <si>
    <t>悬铃尊享CTA1号</t>
  </si>
  <si>
    <t>2022-12-26</t>
  </si>
  <si>
    <t>谦信潮汐六号</t>
  </si>
  <si>
    <t>2023-01-11</t>
  </si>
  <si>
    <t>上海宣夜投资</t>
  </si>
  <si>
    <t>宣夜投资大有一号</t>
  </si>
  <si>
    <t>2021-04-19</t>
  </si>
  <si>
    <t>上海双隆投资</t>
  </si>
  <si>
    <t>双隆-隆元1号</t>
  </si>
  <si>
    <t>2015-04-14</t>
  </si>
  <si>
    <t>北京华澄</t>
  </si>
  <si>
    <t>华澄致远一号</t>
  </si>
  <si>
    <t>2018-11-19</t>
  </si>
  <si>
    <t>远澜红枫1号</t>
  </si>
  <si>
    <t>2016-06-03</t>
  </si>
  <si>
    <t>北京博润银泰投资</t>
  </si>
  <si>
    <t>博润吾同CTA1号</t>
  </si>
  <si>
    <t>2021-04-06</t>
  </si>
  <si>
    <t>成都细水资管</t>
  </si>
  <si>
    <t>细水长流</t>
  </si>
  <si>
    <t>衍合多策略CTA1号</t>
  </si>
  <si>
    <t>2024-03-27</t>
  </si>
  <si>
    <t>广东横琴均成</t>
  </si>
  <si>
    <t>均成CTA1号</t>
  </si>
  <si>
    <t>2017-03-01</t>
  </si>
  <si>
    <t>杭州中舍资管</t>
  </si>
  <si>
    <t>中舍钱江一号CTA</t>
  </si>
  <si>
    <t>2020-03-25</t>
  </si>
  <si>
    <t>北京智信融科投资</t>
  </si>
  <si>
    <t>智信融科CTA七号</t>
  </si>
  <si>
    <t>2021-06-08</t>
  </si>
  <si>
    <t>量派CTA七号</t>
  </si>
  <si>
    <t>上海富励业</t>
  </si>
  <si>
    <t>富励业浦江全天候</t>
  </si>
  <si>
    <t>2021-05-27</t>
  </si>
  <si>
    <t>上海北辰星</t>
  </si>
  <si>
    <t>北辰星-天枢CTA1号</t>
  </si>
  <si>
    <t>2022-07-14</t>
  </si>
  <si>
    <t>卡玛比率</t>
  </si>
  <si>
    <t>成立以来卡玛比率</t>
  </si>
  <si>
    <t>上衍投资大衍天玑2号</t>
  </si>
  <si>
    <t>期权套利</t>
  </si>
  <si>
    <t>2020-08-21</t>
  </si>
  <si>
    <t>黑玺湖畔1号</t>
  </si>
  <si>
    <t>混合套利</t>
  </si>
  <si>
    <t>2019-09-09</t>
  </si>
  <si>
    <t>众壹资产伊雷稳进七号A类</t>
  </si>
  <si>
    <t>ETF套利</t>
  </si>
  <si>
    <t>上海宏翼</t>
  </si>
  <si>
    <t>宏翼高频1号</t>
  </si>
  <si>
    <t>期货套利</t>
  </si>
  <si>
    <t>2021-03-30</t>
  </si>
  <si>
    <t>上海翎涵</t>
  </si>
  <si>
    <t>翎涵容克套利二号</t>
  </si>
  <si>
    <t>杭州探融投资</t>
  </si>
  <si>
    <t>新视野智能量化2号</t>
  </si>
  <si>
    <t>可转债套利</t>
  </si>
  <si>
    <t>2017-01-09</t>
  </si>
  <si>
    <t>珠海蜂起资本</t>
  </si>
  <si>
    <t>蜂起期权对冲1号</t>
  </si>
  <si>
    <t>海南佳泽</t>
  </si>
  <si>
    <t>佳泽信享5号A类</t>
  </si>
  <si>
    <t>2023-01-10</t>
  </si>
  <si>
    <t>滨风屹禾7号</t>
  </si>
  <si>
    <t>上海锐耐</t>
  </si>
  <si>
    <t>锐耐量化多策略1号</t>
  </si>
  <si>
    <t>2023-03-07</t>
  </si>
  <si>
    <t>广西银瓴资产</t>
  </si>
  <si>
    <t>银瓴运通对冲套利进取2号</t>
  </si>
  <si>
    <t>2020-06-16</t>
  </si>
  <si>
    <t>深圳阶石</t>
  </si>
  <si>
    <t>阶石稳健1号</t>
  </si>
  <si>
    <t>上海鋆晟投资</t>
  </si>
  <si>
    <t>鋆晟狮王套利</t>
  </si>
  <si>
    <t>2019-07-18</t>
  </si>
  <si>
    <t>九木套利1号</t>
  </si>
  <si>
    <t>北京宏量资管</t>
  </si>
  <si>
    <t>宏量鼎诚</t>
  </si>
  <si>
    <t>深圳刀锋</t>
  </si>
  <si>
    <t>刀锋期权套利</t>
  </si>
  <si>
    <t>2019-06-11</t>
  </si>
  <si>
    <t>上海展弘投资</t>
  </si>
  <si>
    <t>展弘多策略10号</t>
  </si>
  <si>
    <t>橡杉量化套利十号</t>
  </si>
  <si>
    <t>2020-11-24</t>
  </si>
  <si>
    <t>安诚数盈金福稳健一号</t>
  </si>
  <si>
    <t>福建平潭唐龙资管</t>
  </si>
  <si>
    <t>唐龙量化对冲99号</t>
  </si>
  <si>
    <t>2020-02-24</t>
  </si>
  <si>
    <t>慕途基金</t>
  </si>
  <si>
    <t>慕途基本面量化1号</t>
  </si>
  <si>
    <t>2022-07-08</t>
  </si>
  <si>
    <t>深圳前海博普资管</t>
  </si>
  <si>
    <t>博普安兴私享一号</t>
  </si>
  <si>
    <t>2024-03-22</t>
  </si>
  <si>
    <t>北海恒睿信</t>
  </si>
  <si>
    <t>恒睿信信实量化期权1号</t>
  </si>
  <si>
    <t>2021-04-27</t>
  </si>
  <si>
    <t>上海放牛人</t>
  </si>
  <si>
    <t>放牛人3号</t>
  </si>
  <si>
    <t>2022-03-04</t>
  </si>
  <si>
    <t>宽辅优享1号</t>
  </si>
  <si>
    <t>2024-04-19</t>
  </si>
  <si>
    <t>深圳嘉发资管</t>
  </si>
  <si>
    <t>嘉发期权研究权利巅峰二期</t>
  </si>
  <si>
    <t>2020-08-05</t>
  </si>
  <si>
    <t>博普日添月益</t>
  </si>
  <si>
    <t>小黑妞满天星1号</t>
  </si>
  <si>
    <t>上海擎丰</t>
  </si>
  <si>
    <t>擎丰1号</t>
  </si>
  <si>
    <t>2018-06-06</t>
  </si>
  <si>
    <t>上海跃威</t>
  </si>
  <si>
    <t>跃威稳进一号</t>
  </si>
  <si>
    <t>2018-09-07</t>
  </si>
  <si>
    <t>量客长阳一号</t>
  </si>
  <si>
    <t>2020-07-14</t>
  </si>
  <si>
    <t>广州致远</t>
  </si>
  <si>
    <t>致远投资昆仑1号</t>
  </si>
  <si>
    <t>2021-12-20</t>
  </si>
  <si>
    <t>谦信波动率对冲二号</t>
  </si>
  <si>
    <t>2019-05-22</t>
  </si>
  <si>
    <t>青岛鹿秀投资</t>
  </si>
  <si>
    <t>鹿秀统计套利1号</t>
  </si>
  <si>
    <t>2019-12-02</t>
  </si>
  <si>
    <t>泽盈毅明1号</t>
  </si>
  <si>
    <t>鸣熙资产-招享套利1号</t>
  </si>
  <si>
    <t>2020-04-16</t>
  </si>
  <si>
    <t>悬铃C号</t>
  </si>
  <si>
    <t>上海滴海</t>
  </si>
  <si>
    <t>谊恒滴海一号</t>
  </si>
  <si>
    <t>2022-10-21</t>
  </si>
  <si>
    <t>宁波瑞倍</t>
  </si>
  <si>
    <t>瑞倍稳聚1号</t>
  </si>
  <si>
    <t>2023-01-16</t>
  </si>
  <si>
    <t>展弘优选套利运作1号A类</t>
  </si>
  <si>
    <t>龙智福星</t>
  </si>
  <si>
    <t>上海光亿旺达</t>
  </si>
  <si>
    <t>拾麦稳进六号</t>
  </si>
  <si>
    <t>2019-11-21</t>
  </si>
  <si>
    <t>海南纵帆</t>
  </si>
  <si>
    <t>纵帆禾裕二号</t>
  </si>
  <si>
    <t>2024-12-24</t>
  </si>
  <si>
    <t>上海恒如投资</t>
  </si>
  <si>
    <t>恒如套利三号</t>
  </si>
  <si>
    <t>2019-09-19</t>
  </si>
  <si>
    <t>武汉九招</t>
  </si>
  <si>
    <t>九招真格量化套利一号</t>
  </si>
  <si>
    <t>2021-03-16</t>
  </si>
  <si>
    <t>恒如全天候守心1号</t>
  </si>
  <si>
    <t>2024-03-29</t>
  </si>
  <si>
    <t>上海俊丹</t>
  </si>
  <si>
    <t>俊丹湾谷二号</t>
  </si>
  <si>
    <t>2020-08-26</t>
  </si>
  <si>
    <t>上海古木投资</t>
  </si>
  <si>
    <t>古木重剑无锋期权1号</t>
  </si>
  <si>
    <t>2021-05-20</t>
  </si>
  <si>
    <t>惠隆金选套利1号</t>
  </si>
  <si>
    <t>2021-09-23</t>
  </si>
  <si>
    <t>上海摩旗投资</t>
  </si>
  <si>
    <t>摩旗安馨多策略套利1号</t>
  </si>
  <si>
    <t>北京交叉智能</t>
  </si>
  <si>
    <t>交叉智能-量化增强2号</t>
  </si>
  <si>
    <t>2023-04-19</t>
  </si>
  <si>
    <t>江苏兆信</t>
  </si>
  <si>
    <t>兆信复合套利金手套一号</t>
  </si>
  <si>
    <t>2022-03-24</t>
  </si>
  <si>
    <t>本利达利磐一号</t>
  </si>
  <si>
    <t>2019-11-01</t>
  </si>
  <si>
    <t>睿启鑫享1号</t>
  </si>
  <si>
    <t>2024-10-30</t>
  </si>
  <si>
    <t>杭州庄贤投资</t>
  </si>
  <si>
    <t>庄贤对冲5号</t>
  </si>
  <si>
    <t>深圳木莲</t>
  </si>
  <si>
    <t>木莲安澜1号</t>
  </si>
  <si>
    <t>2025-02-28</t>
  </si>
  <si>
    <t>爱凡哲投资</t>
  </si>
  <si>
    <t>爱凡哲睿哲</t>
  </si>
  <si>
    <t>2020-05-07</t>
  </si>
  <si>
    <t>福州智领三联</t>
  </si>
  <si>
    <t>智领玄武1号</t>
  </si>
  <si>
    <t>2021-02-09</t>
  </si>
  <si>
    <t>江西鼎森投资</t>
  </si>
  <si>
    <t>鼎森汇临期权量化1号</t>
  </si>
  <si>
    <t>2020-07-02</t>
  </si>
  <si>
    <t>上海熙盛明诚</t>
  </si>
  <si>
    <t>熙盛睿成商品对冲</t>
  </si>
  <si>
    <t>盛恒二号</t>
  </si>
  <si>
    <t>2019-03-15</t>
  </si>
  <si>
    <t>上海犇牛</t>
  </si>
  <si>
    <t>犇牛稳进3号</t>
  </si>
  <si>
    <t>2020-11-09</t>
  </si>
  <si>
    <t>上海致同投资</t>
  </si>
  <si>
    <t>致同稳健成长1期</t>
  </si>
  <si>
    <t>2018-10-16</t>
  </si>
  <si>
    <t>深度梦扬量化套利0号</t>
  </si>
  <si>
    <t>北京平凡</t>
  </si>
  <si>
    <t>平凡悟鑫</t>
  </si>
  <si>
    <t>2016-04-19</t>
  </si>
  <si>
    <t>上海铭杉投资</t>
  </si>
  <si>
    <t>铭杉量化稳健7号</t>
  </si>
  <si>
    <t>2024-07-08</t>
  </si>
  <si>
    <t>正瀛权智1号</t>
  </si>
  <si>
    <t>2017-07-20</t>
  </si>
  <si>
    <t>北京启星</t>
  </si>
  <si>
    <t>启星权胜A类</t>
  </si>
  <si>
    <t>2023-11-24</t>
  </si>
  <si>
    <t>福建野牛资管</t>
  </si>
  <si>
    <t>野牛稳进2号</t>
  </si>
  <si>
    <t>2024-01-23</t>
  </si>
  <si>
    <t>上海金和晟</t>
  </si>
  <si>
    <t>金和金诚5号</t>
  </si>
  <si>
    <t>2022-07-07</t>
  </si>
  <si>
    <t>砚博乘风量化14号</t>
  </si>
  <si>
    <t>兰盈阿尔法俱乐部1号</t>
  </si>
  <si>
    <t>2023-10-18</t>
  </si>
  <si>
    <t>远澜翠柏1号</t>
  </si>
  <si>
    <t>2017-05-12</t>
  </si>
  <si>
    <t>上海英旷资管</t>
  </si>
  <si>
    <t>英旷专享1号</t>
  </si>
  <si>
    <t>2021-08-16</t>
  </si>
  <si>
    <t>海南钰泰</t>
  </si>
  <si>
    <t>钰泰蓝田稳健1号</t>
  </si>
  <si>
    <t>2025-02-21</t>
  </si>
  <si>
    <t>龙帆恒盛稳固9号</t>
  </si>
  <si>
    <t>2021-10-20</t>
  </si>
  <si>
    <t>歆享资产稳健一号</t>
  </si>
  <si>
    <t>2017-01-05</t>
  </si>
  <si>
    <t>盛冠达量化套利6号</t>
  </si>
  <si>
    <t>2020-06-01</t>
  </si>
  <si>
    <t>嘉和传承日鑫月益1号A类</t>
  </si>
  <si>
    <t>白鹭权优1号B类</t>
  </si>
  <si>
    <t>2022-04-11</t>
  </si>
  <si>
    <t>上海融昊投资</t>
  </si>
  <si>
    <t>融昊青松CTA套利一号</t>
  </si>
  <si>
    <t>2023-05-18</t>
  </si>
  <si>
    <t>山东三足</t>
  </si>
  <si>
    <t>三足金乌1号</t>
  </si>
  <si>
    <t>2021-12-13</t>
  </si>
  <si>
    <t>宽投量化三号</t>
  </si>
  <si>
    <t>2017-06-23</t>
  </si>
  <si>
    <t>双隆-隆盛9号</t>
  </si>
  <si>
    <t>2024-06-25</t>
  </si>
  <si>
    <t>凡德量化八号</t>
  </si>
  <si>
    <t>2020-03-02</t>
  </si>
  <si>
    <t>厦门言起博士一号</t>
  </si>
  <si>
    <t>2020-02-20</t>
  </si>
  <si>
    <t>上海银杏</t>
  </si>
  <si>
    <t>银杏善投1号</t>
  </si>
  <si>
    <t>2022-02-25</t>
  </si>
  <si>
    <t>福州数为</t>
  </si>
  <si>
    <t>数为道策套利一号</t>
  </si>
  <si>
    <t>2020-10-19</t>
  </si>
  <si>
    <t>深圳前海暨创汇</t>
  </si>
  <si>
    <t>暨创汇金达价值优势2号</t>
  </si>
  <si>
    <t>宏观策略</t>
  </si>
  <si>
    <t>2022-01-06</t>
  </si>
  <si>
    <t>上海半夏投资</t>
  </si>
  <si>
    <t>半夏稳健混合宏观对冲</t>
  </si>
  <si>
    <t>2018-05-25</t>
  </si>
  <si>
    <t>深圳聚联汇投资</t>
  </si>
  <si>
    <t>聚联汇进取4号</t>
  </si>
  <si>
    <t>2020-09-30</t>
  </si>
  <si>
    <t>武汉优稳资管</t>
  </si>
  <si>
    <t>优稳量化对冲套利策略1号</t>
  </si>
  <si>
    <t>2017-10-19</t>
  </si>
  <si>
    <t>博衍九溪宏观策略1号</t>
  </si>
  <si>
    <t>澜胜全天候稳健1号</t>
  </si>
  <si>
    <t>毅桥多策略进取1号</t>
  </si>
  <si>
    <t>2022-10-26</t>
  </si>
  <si>
    <t>珏朔翼陇</t>
  </si>
  <si>
    <t>2025-02-13</t>
  </si>
  <si>
    <t>上海易则投资</t>
  </si>
  <si>
    <t>易则稳健收益</t>
  </si>
  <si>
    <t>2020-09-07</t>
  </si>
  <si>
    <t>翼丰稳健21号</t>
  </si>
  <si>
    <t>2019-07-23</t>
  </si>
  <si>
    <t>北京云联智融投资</t>
  </si>
  <si>
    <t>云联智融财源滚滚</t>
  </si>
  <si>
    <t>2020-09-11</t>
  </si>
  <si>
    <t>博衍留芳1号</t>
  </si>
  <si>
    <t>2023-02-03</t>
  </si>
  <si>
    <t>上海积优</t>
  </si>
  <si>
    <t>积优基石</t>
  </si>
  <si>
    <t>2022-03-01</t>
  </si>
  <si>
    <t>上海澜音</t>
  </si>
  <si>
    <t>澜音宏观全天候6号</t>
  </si>
  <si>
    <t>2026-01-12</t>
  </si>
  <si>
    <t>九招筑金多策略稳健1号</t>
  </si>
  <si>
    <t>2023-09-15</t>
  </si>
  <si>
    <t>杭州倍致</t>
  </si>
  <si>
    <t>倍致多资产2号</t>
  </si>
  <si>
    <t>2022-05-17</t>
  </si>
  <si>
    <t>深圳壹方</t>
  </si>
  <si>
    <t>壹方学海波澜</t>
  </si>
  <si>
    <t>钧富超级全天候5号</t>
  </si>
  <si>
    <t>2019-03-21</t>
  </si>
  <si>
    <t>悬铃A号2期</t>
  </si>
  <si>
    <t>2019-04-24</t>
  </si>
  <si>
    <t>上海申九资管</t>
  </si>
  <si>
    <t>申九元数多元策略</t>
  </si>
  <si>
    <t>2023-03-01</t>
  </si>
  <si>
    <t>海南路远</t>
  </si>
  <si>
    <t>路远睿泽稳增</t>
  </si>
  <si>
    <t>2018-09-11</t>
  </si>
  <si>
    <t>山东融升</t>
  </si>
  <si>
    <t>融升稳健1号</t>
  </si>
  <si>
    <t>2018-03-09</t>
  </si>
  <si>
    <t>平潭明实</t>
  </si>
  <si>
    <t>明实元择系统性宏观</t>
  </si>
  <si>
    <t>2021-04-15</t>
  </si>
  <si>
    <t>温州金阳</t>
  </si>
  <si>
    <t>金阳宏观一号</t>
  </si>
  <si>
    <t>2020-06-29</t>
  </si>
  <si>
    <t>和裕瑞铭嘉银1号</t>
  </si>
  <si>
    <t>2021-10-15</t>
  </si>
  <si>
    <t>蜂起全球宏观进取1号</t>
  </si>
  <si>
    <t>2017-05-19</t>
  </si>
  <si>
    <t>会世宏观量化1号</t>
  </si>
  <si>
    <t>2025-05-12</t>
  </si>
  <si>
    <t>远澜藤枫宏观量化1号</t>
  </si>
  <si>
    <t>2023-01-18</t>
  </si>
  <si>
    <t>上海思达星汇</t>
  </si>
  <si>
    <t>星汇天玑1号</t>
  </si>
  <si>
    <t>创元期货</t>
  </si>
  <si>
    <t>-</t>
  </si>
  <si>
    <t>创元福源</t>
  </si>
  <si>
    <t>诺峰汇价值精选13号</t>
  </si>
  <si>
    <t>北京尚艺</t>
  </si>
  <si>
    <t>尚艺阳光1号C类</t>
  </si>
  <si>
    <t>2019-04-25</t>
  </si>
  <si>
    <t>上海锐联景淳投资</t>
  </si>
  <si>
    <t>锐联多元化旗舰五号</t>
  </si>
  <si>
    <t>2023-06-14</t>
  </si>
  <si>
    <t>上海元康投资</t>
  </si>
  <si>
    <t>元康投资-宏观机遇3号</t>
  </si>
  <si>
    <t>山东同石</t>
  </si>
  <si>
    <t>同石安享1号</t>
  </si>
  <si>
    <t>遂玖东方6号</t>
  </si>
  <si>
    <t>2024-01-18</t>
  </si>
  <si>
    <t>洛书全天候增强一期</t>
  </si>
  <si>
    <t>2023-12-15</t>
  </si>
  <si>
    <t>金瑞期货</t>
  </si>
  <si>
    <t>金瑞谦寻3号</t>
  </si>
  <si>
    <t>2025-12-16</t>
  </si>
  <si>
    <t>杭州波粒二象天洋1号</t>
  </si>
  <si>
    <t>2022-09-01</t>
  </si>
  <si>
    <t>浙江元葵资管</t>
  </si>
  <si>
    <t>元葵天时</t>
  </si>
  <si>
    <t>2018-10-12</t>
  </si>
  <si>
    <t>钇远寻闲1号A类</t>
  </si>
  <si>
    <t>2025-05-19</t>
  </si>
  <si>
    <t>熙盛睿远均衡</t>
  </si>
  <si>
    <t>2023-05-08</t>
  </si>
  <si>
    <t>无量宏观量化多策略1号</t>
  </si>
  <si>
    <t>2020-03-20</t>
  </si>
  <si>
    <t>广州草本投资</t>
  </si>
  <si>
    <t>草本优益1号</t>
  </si>
  <si>
    <t>金和全天候1号A类</t>
  </si>
  <si>
    <t>2021-02-04</t>
  </si>
  <si>
    <t>珠海明世伙伴</t>
  </si>
  <si>
    <t>明世伙伴胜杯11号1期</t>
  </si>
  <si>
    <t>上海新远</t>
  </si>
  <si>
    <t>新远晨骏宏观对冲1号B类</t>
  </si>
  <si>
    <t>2021-12-14</t>
  </si>
  <si>
    <t>上海泓湖</t>
  </si>
  <si>
    <t>泓湖均衡配置三号B类</t>
  </si>
  <si>
    <t>2024-12-27</t>
  </si>
  <si>
    <t>联海宏观增强平衡1号A类</t>
  </si>
  <si>
    <t>2024-12-09</t>
  </si>
  <si>
    <t>海南思瑞</t>
  </si>
  <si>
    <t>思瑞乾元宏观</t>
  </si>
  <si>
    <t>2023-09-18</t>
  </si>
  <si>
    <t>上海久期投资</t>
  </si>
  <si>
    <t>久期宏观对冲1号</t>
  </si>
  <si>
    <t>2016-08-19</t>
  </si>
  <si>
    <t>翼品致远全天候1号</t>
  </si>
  <si>
    <t>复合策略</t>
  </si>
  <si>
    <t>2018-07-03</t>
  </si>
  <si>
    <t>霁泽艾比之路</t>
  </si>
  <si>
    <t>2017-02-17</t>
  </si>
  <si>
    <t>润洲正行一号</t>
  </si>
  <si>
    <t>深圳国恩资本</t>
  </si>
  <si>
    <t>国恩中证1000指数增强1号</t>
  </si>
  <si>
    <t>武汉昭融汇利</t>
  </si>
  <si>
    <t>昭融基业长青1号</t>
  </si>
  <si>
    <t>2022-12-06</t>
  </si>
  <si>
    <t>杭州金时资管</t>
  </si>
  <si>
    <t>金时量化1号</t>
  </si>
  <si>
    <t>2019-03-28</t>
  </si>
  <si>
    <t>北京永瑞</t>
  </si>
  <si>
    <t>永瑞古歌一号</t>
  </si>
  <si>
    <t>宽投金福融量化多策略1号</t>
  </si>
  <si>
    <t>同温层灵活配置1号</t>
  </si>
  <si>
    <t>2020-11-16</t>
  </si>
  <si>
    <t>筑金南石稳健一号</t>
  </si>
  <si>
    <t>深圳懿德财富投资</t>
  </si>
  <si>
    <t>懿德财富远见成长</t>
  </si>
  <si>
    <t>海宽基金</t>
  </si>
  <si>
    <t>江洋海宽一号</t>
  </si>
  <si>
    <t>2024-03-11</t>
  </si>
  <si>
    <t>上海多璨投资</t>
  </si>
  <si>
    <t>多璨价值驱动6号</t>
  </si>
  <si>
    <t>2021-08-30</t>
  </si>
  <si>
    <t>浙江巴克夏投资</t>
  </si>
  <si>
    <t>巴克夏高能6号</t>
  </si>
  <si>
    <t>北京四方辐凑</t>
  </si>
  <si>
    <t>四方辐凑灵活配置混合型3号</t>
  </si>
  <si>
    <t>2021-08-26</t>
  </si>
  <si>
    <t>同亨多策略一号</t>
  </si>
  <si>
    <t>2018-01-26</t>
  </si>
  <si>
    <t>安诚数盈量化驱动六号</t>
  </si>
  <si>
    <t>2019-12-05</t>
  </si>
  <si>
    <t>锐耐量化多策略1号A类</t>
  </si>
  <si>
    <t>孝庸玉貔貅三号</t>
  </si>
  <si>
    <t>2019-10-18</t>
  </si>
  <si>
    <t>钧富如风7号</t>
  </si>
  <si>
    <t>2020-02-21</t>
  </si>
  <si>
    <t>唐龙量化对冲1号C类</t>
  </si>
  <si>
    <t>悬铃和鸣多策略1号</t>
  </si>
  <si>
    <t>龙旗猎豹择时2号</t>
  </si>
  <si>
    <t>澜胜多策略1号</t>
  </si>
  <si>
    <t>2025-07-29</t>
  </si>
  <si>
    <t>上海益理资管</t>
  </si>
  <si>
    <t>益理投资一期基金</t>
  </si>
  <si>
    <t>2015-03-19</t>
  </si>
  <si>
    <t>锐耐量化稳健套利1号</t>
  </si>
  <si>
    <t>2023-11-14</t>
  </si>
  <si>
    <t>上海嘉懿萃</t>
  </si>
  <si>
    <t>嘉懿耀辉</t>
  </si>
  <si>
    <t>2023-02-15</t>
  </si>
  <si>
    <t>会世元驰1号</t>
  </si>
  <si>
    <t>2021-03-31</t>
  </si>
  <si>
    <t>尚艺全天候理享1号</t>
  </si>
  <si>
    <t>旌安1号B类</t>
  </si>
  <si>
    <t>2018-05-09</t>
  </si>
  <si>
    <t>上海海楚资管</t>
  </si>
  <si>
    <t>海楚全天候稳进配置1号B类</t>
  </si>
  <si>
    <t>野牛稳进6号B类</t>
  </si>
  <si>
    <t>2026-03-03</t>
  </si>
  <si>
    <t>潼骁投资</t>
  </si>
  <si>
    <t>潼骁长益1号</t>
  </si>
  <si>
    <t>2021-08-19</t>
  </si>
  <si>
    <t>牧鑫纯贝塔0号</t>
  </si>
  <si>
    <t>2017-02-13</t>
  </si>
  <si>
    <t>绰瑞北岳43号</t>
  </si>
  <si>
    <t>千衍六贞1号B类</t>
  </si>
  <si>
    <t>2023-10-23</t>
  </si>
  <si>
    <t>爱凡哲AH多空1号</t>
  </si>
  <si>
    <t>深圳骏胜</t>
  </si>
  <si>
    <t>骏胜子龙量化3号</t>
  </si>
  <si>
    <t>北京齐济合创投资</t>
  </si>
  <si>
    <t>齐济合创量化1号</t>
  </si>
  <si>
    <t>2023-11-28</t>
  </si>
  <si>
    <t>黑翼优选多策略1号A类</t>
  </si>
  <si>
    <t>2020-08-20</t>
  </si>
  <si>
    <t>量客光佑多策略七十八期</t>
  </si>
  <si>
    <t>2025-09-02</t>
  </si>
  <si>
    <t>量派聚核20号</t>
  </si>
  <si>
    <t>北京天铖</t>
  </si>
  <si>
    <t>天铖共禾3号</t>
  </si>
  <si>
    <t>浙江浩期</t>
  </si>
  <si>
    <t>浩期量化一号</t>
  </si>
  <si>
    <t>2018-04-26</t>
  </si>
  <si>
    <t>艳珍天衡智盾1号</t>
  </si>
  <si>
    <t>强势股</t>
  </si>
  <si>
    <t>2025-03-21</t>
  </si>
  <si>
    <t>共青城瀛岳</t>
  </si>
  <si>
    <t>瀛岳核心</t>
  </si>
  <si>
    <t>2021-11-08</t>
  </si>
  <si>
    <t>海南时代共赢</t>
  </si>
  <si>
    <t>新时代共赢安胜达2号</t>
  </si>
  <si>
    <t>2025-08-07</t>
  </si>
  <si>
    <t>致达仟贝</t>
  </si>
  <si>
    <t>2022-12-16</t>
  </si>
  <si>
    <t>四川海子投资</t>
  </si>
  <si>
    <t>海子丰铄六号</t>
  </si>
  <si>
    <t>2022-06-01</t>
  </si>
  <si>
    <t>新时代共赢一号</t>
  </si>
  <si>
    <t>2025-01-10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</si>
</sst>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楷体"/>
      <charset val="134"/>
    </font>
    <font>
      <sz val="12"/>
      <color theme="1"/>
      <name val="黑体"/>
      <charset val="134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2"/>
      <color rgb="FFFF0000"/>
      <name val="黑体"/>
      <charset val="134"/>
    </font>
    <font>
      <sz val="11"/>
      <color theme="1"/>
      <name val="黑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3" tint="0.79989013336588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7" fillId="9" borderId="0">
      <alignment vertical="center"/>
    </xf>
    <xf numFmtId="0" fontId="8" fillId="10" borderId="20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7" fillId="11" borderId="0">
      <alignment vertical="center"/>
    </xf>
    <xf numFmtId="0" fontId="9" fillId="12" borderId="0">
      <alignment vertical="center"/>
    </xf>
    <xf numFmtId="43" fontId="0" fillId="0" borderId="0">
      <alignment vertical="center"/>
    </xf>
    <xf numFmtId="0" fontId="10" fillId="13" borderId="0">
      <alignment vertical="center"/>
    </xf>
    <xf numFmtId="0" fontId="11" fillId="0" borderId="0">
      <alignment vertical="center"/>
    </xf>
    <xf numFmtId="9" fontId="0" fillId="0" borderId="0">
      <alignment vertical="center"/>
    </xf>
    <xf numFmtId="0" fontId="12" fillId="0" borderId="0">
      <alignment vertical="center"/>
    </xf>
    <xf numFmtId="0" fontId="0" fillId="14" borderId="21">
      <alignment vertical="center"/>
    </xf>
    <xf numFmtId="0" fontId="10" fillId="15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22">
      <alignment vertical="center"/>
    </xf>
    <xf numFmtId="0" fontId="18" fillId="0" borderId="22">
      <alignment vertical="center"/>
    </xf>
    <xf numFmtId="0" fontId="10" fillId="16" borderId="0">
      <alignment vertical="center"/>
    </xf>
    <xf numFmtId="0" fontId="13" fillId="0" borderId="23">
      <alignment vertical="center"/>
    </xf>
    <xf numFmtId="0" fontId="10" fillId="17" borderId="0">
      <alignment vertical="center"/>
    </xf>
    <xf numFmtId="0" fontId="19" fillId="18" borderId="24">
      <alignment vertical="center"/>
    </xf>
    <xf numFmtId="0" fontId="20" fillId="18" borderId="20">
      <alignment vertical="center"/>
    </xf>
    <xf numFmtId="0" fontId="21" fillId="19" borderId="25">
      <alignment vertical="center"/>
    </xf>
    <xf numFmtId="0" fontId="7" fillId="20" borderId="0">
      <alignment vertical="center"/>
    </xf>
    <xf numFmtId="0" fontId="10" fillId="21" borderId="0">
      <alignment vertical="center"/>
    </xf>
    <xf numFmtId="0" fontId="22" fillId="0" borderId="26">
      <alignment vertical="center"/>
    </xf>
    <xf numFmtId="0" fontId="23" fillId="0" borderId="27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7" fillId="24" borderId="0">
      <alignment vertical="center"/>
    </xf>
    <xf numFmtId="0" fontId="10" fillId="25" borderId="0">
      <alignment vertical="center"/>
    </xf>
    <xf numFmtId="0" fontId="7" fillId="26" borderId="0">
      <alignment vertical="center"/>
    </xf>
    <xf numFmtId="0" fontId="7" fillId="27" borderId="0">
      <alignment vertical="center"/>
    </xf>
    <xf numFmtId="0" fontId="7" fillId="28" borderId="0">
      <alignment vertical="center"/>
    </xf>
    <xf numFmtId="0" fontId="7" fillId="29" borderId="0">
      <alignment vertical="center"/>
    </xf>
    <xf numFmtId="0" fontId="10" fillId="30" borderId="0">
      <alignment vertical="center"/>
    </xf>
    <xf numFmtId="0" fontId="10" fillId="31" borderId="0">
      <alignment vertical="center"/>
    </xf>
    <xf numFmtId="0" fontId="7" fillId="32" borderId="0">
      <alignment vertical="center"/>
    </xf>
    <xf numFmtId="0" fontId="7" fillId="33" borderId="0">
      <alignment vertical="center"/>
    </xf>
    <xf numFmtId="0" fontId="10" fillId="34" borderId="0">
      <alignment vertical="center"/>
    </xf>
    <xf numFmtId="0" fontId="7" fillId="35" borderId="0">
      <alignment vertical="center"/>
    </xf>
    <xf numFmtId="0" fontId="10" fillId="36" borderId="0">
      <alignment vertical="center"/>
    </xf>
    <xf numFmtId="0" fontId="10" fillId="37" borderId="0">
      <alignment vertical="center"/>
    </xf>
    <xf numFmtId="0" fontId="7" fillId="38" borderId="0">
      <alignment vertical="center"/>
    </xf>
    <xf numFmtId="0" fontId="10" fillId="39" borderId="0">
      <alignment vertical="center"/>
    </xf>
  </cellStyleXfs>
  <cellXfs count="5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1" fillId="3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" fillId="4" borderId="6" xfId="0" applyFont="1" applyFill="1" applyBorder="1" applyAlignment="1">
      <alignment horizontal="center" vertical="center" wrapText="1"/>
    </xf>
    <xf numFmtId="0" fontId="0" fillId="0" borderId="7" xfId="0" applyBorder="1"/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2" fillId="0" borderId="3" xfId="0" applyFont="1" applyBorder="1"/>
    <xf numFmtId="0" fontId="2" fillId="0" borderId="11" xfId="0" applyFont="1" applyBorder="1"/>
    <xf numFmtId="10" fontId="2" fillId="0" borderId="11" xfId="0" applyNumberFormat="1" applyFont="1" applyBorder="1"/>
    <xf numFmtId="10" fontId="2" fillId="0" borderId="3" xfId="0" applyNumberFormat="1" applyFont="1" applyBorder="1"/>
    <xf numFmtId="0" fontId="1" fillId="5" borderId="6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10" fontId="4" fillId="8" borderId="8" xfId="11" applyNumberFormat="1" applyFont="1" applyFill="1" applyBorder="1" applyAlignment="1">
      <alignment horizontal="center" vertical="center"/>
    </xf>
    <xf numFmtId="10" fontId="4" fillId="8" borderId="9" xfId="11" applyNumberFormat="1" applyFont="1" applyFill="1" applyBorder="1" applyAlignment="1">
      <alignment horizontal="center" vertical="center"/>
    </xf>
    <xf numFmtId="10" fontId="2" fillId="0" borderId="14" xfId="0" applyNumberFormat="1" applyFont="1" applyBorder="1"/>
    <xf numFmtId="0" fontId="2" fillId="0" borderId="15" xfId="0" applyFont="1" applyBorder="1"/>
    <xf numFmtId="0" fontId="2" fillId="0" borderId="14" xfId="0" applyFont="1" applyBorder="1"/>
    <xf numFmtId="0" fontId="3" fillId="8" borderId="1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wrapText="1"/>
    </xf>
    <xf numFmtId="0" fontId="3" fillId="8" borderId="12" xfId="0" applyFont="1" applyFill="1" applyBorder="1" applyAlignment="1">
      <alignment horizontal="center" vertical="center" wrapText="1"/>
    </xf>
    <xf numFmtId="10" fontId="4" fillId="8" borderId="13" xfId="11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16" xfId="0" applyFont="1" applyBorder="1"/>
    <xf numFmtId="0" fontId="1" fillId="7" borderId="6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  <xf numFmtId="0" fontId="1" fillId="7" borderId="18" xfId="0" applyFont="1" applyFill="1" applyBorder="1" applyAlignment="1">
      <alignment horizontal="center" vertical="center" wrapText="1"/>
    </xf>
    <xf numFmtId="10" fontId="2" fillId="0" borderId="19" xfId="0" applyNumberFormat="1" applyFont="1" applyBorder="1"/>
    <xf numFmtId="10" fontId="2" fillId="0" borderId="1" xfId="0" applyNumberFormat="1" applyFont="1" applyBorder="1"/>
    <xf numFmtId="10" fontId="2" fillId="0" borderId="6" xfId="0" applyNumberFormat="1" applyFont="1" applyBorder="1"/>
    <xf numFmtId="0" fontId="2" fillId="0" borderId="6" xfId="0" applyFont="1" applyBorder="1"/>
    <xf numFmtId="0" fontId="2" fillId="0" borderId="12" xfId="0" applyFont="1" applyBorder="1" applyAlignment="1">
      <alignment horizontal="center" vertical="center" wrapText="1"/>
    </xf>
    <xf numFmtId="10" fontId="2" fillId="0" borderId="15" xfId="0" applyNumberFormat="1" applyFont="1" applyBorder="1"/>
    <xf numFmtId="10" fontId="2" fillId="0" borderId="10" xfId="0" applyNumberFormat="1" applyFont="1" applyBorder="1"/>
    <xf numFmtId="0" fontId="5" fillId="8" borderId="14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6" fillId="0" borderId="14" xfId="0" applyFont="1" applyBorder="1"/>
    <xf numFmtId="10" fontId="2" fillId="0" borderId="8" xfId="0" applyNumberFormat="1" applyFont="1" applyBorder="1"/>
    <xf numFmtId="10" fontId="2" fillId="0" borderId="9" xfId="0" applyNumberFormat="1" applyFont="1" applyBorder="1"/>
    <xf numFmtId="0" fontId="2" fillId="0" borderId="9" xfId="0" applyFont="1" applyBorder="1"/>
    <xf numFmtId="0" fontId="6" fillId="0" borderId="13" xfId="0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theme="3" tint="0.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W100"/>
  <sheetViews>
    <sheetView workbookViewId="0">
      <pane ySplit="2" topLeftCell="A3" activePane="bottomLeft" state="frozen"/>
      <selection/>
      <selection pane="bottomLeft" activeCell="R8" sqref="R8"/>
    </sheetView>
  </sheetViews>
  <sheetFormatPr defaultColWidth="9" defaultRowHeight="14.4"/>
  <cols>
    <col min="1" max="1" width="16.4444444444444" customWidth="1"/>
    <col min="8" max="9" width="9.44444444444444" customWidth="1"/>
    <col min="13" max="13" width="9.44444444444444" customWidth="1"/>
  </cols>
  <sheetData>
    <row r="1" ht="31.2" customHeight="1" spans="1:23">
      <c r="A1" s="1" t="s">
        <v>0</v>
      </c>
      <c r="B1" s="2"/>
      <c r="C1" s="3" t="s">
        <v>1</v>
      </c>
      <c r="D1" s="4"/>
      <c r="E1" s="5"/>
      <c r="F1" s="6" t="s">
        <v>2</v>
      </c>
      <c r="G1" s="7"/>
      <c r="H1" s="7"/>
      <c r="I1" s="2"/>
      <c r="J1" s="17" t="s">
        <v>3</v>
      </c>
      <c r="K1" s="2"/>
      <c r="L1" s="18" t="s">
        <v>4</v>
      </c>
      <c r="M1" s="19" t="s">
        <v>5</v>
      </c>
      <c r="N1" s="20" t="s">
        <v>6</v>
      </c>
      <c r="O1" s="21" t="s">
        <v>7</v>
      </c>
      <c r="P1" s="21" t="s">
        <v>8</v>
      </c>
      <c r="Q1" s="21" t="s">
        <v>9</v>
      </c>
      <c r="R1" s="30" t="s">
        <v>10</v>
      </c>
      <c r="S1" s="31" t="s">
        <v>11</v>
      </c>
      <c r="T1" s="32" t="s">
        <v>12</v>
      </c>
      <c r="U1" s="32" t="s">
        <v>13</v>
      </c>
      <c r="V1" s="32" t="s">
        <v>14</v>
      </c>
      <c r="W1" s="33" t="s">
        <v>15</v>
      </c>
    </row>
    <row r="2" ht="47.55" customHeight="1" spans="1:23">
      <c r="A2" s="8" t="s">
        <v>16</v>
      </c>
      <c r="B2" s="9" t="s">
        <v>17</v>
      </c>
      <c r="C2" s="10" t="s">
        <v>18</v>
      </c>
      <c r="D2" s="10" t="s">
        <v>19</v>
      </c>
      <c r="E2" s="10" t="s">
        <v>20</v>
      </c>
      <c r="F2" s="11" t="s">
        <v>21</v>
      </c>
      <c r="G2" s="11" t="s">
        <v>22</v>
      </c>
      <c r="H2" s="11" t="s">
        <v>23</v>
      </c>
      <c r="I2" s="11" t="s">
        <v>24</v>
      </c>
      <c r="J2" s="22" t="s">
        <v>25</v>
      </c>
      <c r="K2" s="22" t="s">
        <v>26</v>
      </c>
      <c r="L2" s="23" t="s">
        <v>27</v>
      </c>
      <c r="M2" s="24" t="s">
        <v>28</v>
      </c>
      <c r="N2" s="25">
        <f>QUARTILE(F3:F200,4)</f>
        <v>0.2352</v>
      </c>
      <c r="O2" s="26">
        <f>QUARTILE(F3:F200,3)</f>
        <v>0.03415</v>
      </c>
      <c r="P2" s="26">
        <f>QUARTILE(F3:F200,2)</f>
        <v>0.0057</v>
      </c>
      <c r="Q2" s="26">
        <f>QUARTILE(F3:F200,1)</f>
        <v>-0.02495</v>
      </c>
      <c r="R2" s="34">
        <f>QUARTILE(F3:F200,0)</f>
        <v>-0.1432</v>
      </c>
      <c r="S2" s="25">
        <f>QUARTILE(H3:H200,4)</f>
        <v>0.8424</v>
      </c>
      <c r="T2" s="26">
        <f>QUARTILE(H3:H200,3)</f>
        <v>0.2305</v>
      </c>
      <c r="U2" s="26">
        <f>QUARTILE(H3:H200,2)</f>
        <v>0.0211</v>
      </c>
      <c r="V2" s="26">
        <f>QUARTILE(H3:H200,1)</f>
        <v>-0.075</v>
      </c>
      <c r="W2" s="34">
        <f>QUARTILE(H3:H200,0)</f>
        <v>-0.344</v>
      </c>
    </row>
    <row r="3" ht="15.6" customHeight="1" spans="1:13">
      <c r="A3" s="12" t="s">
        <v>29</v>
      </c>
      <c r="B3" s="13" t="s">
        <v>30</v>
      </c>
      <c r="C3" s="14" t="s">
        <v>31</v>
      </c>
      <c r="D3" s="14" t="s">
        <v>32</v>
      </c>
      <c r="E3" s="15" t="s">
        <v>33</v>
      </c>
      <c r="F3" s="16">
        <v>0.2352</v>
      </c>
      <c r="G3" s="16">
        <v>0.5048</v>
      </c>
      <c r="H3" s="16">
        <v>0.374</v>
      </c>
      <c r="I3" s="27">
        <v>0.0266</v>
      </c>
      <c r="J3" s="16">
        <v>0.2668</v>
      </c>
      <c r="K3" s="16">
        <v>0.4473</v>
      </c>
      <c r="L3" s="16">
        <v>0.4787</v>
      </c>
      <c r="M3" s="29">
        <v>0.0137</v>
      </c>
    </row>
    <row r="4" ht="15.6" customHeight="1" spans="1:13">
      <c r="A4" s="12" t="s">
        <v>34</v>
      </c>
      <c r="B4" s="13" t="s">
        <v>30</v>
      </c>
      <c r="C4" s="13" t="s">
        <v>35</v>
      </c>
      <c r="D4" s="13" t="s">
        <v>32</v>
      </c>
      <c r="E4" s="16" t="s">
        <v>36</v>
      </c>
      <c r="F4" s="16">
        <v>0.1448</v>
      </c>
      <c r="G4" s="16">
        <v>0.0016</v>
      </c>
      <c r="H4" s="16">
        <v>-0.1233</v>
      </c>
      <c r="I4" s="27">
        <v>0.4331</v>
      </c>
      <c r="J4" s="16">
        <v>0.2848</v>
      </c>
      <c r="K4" s="16">
        <v>0.2855</v>
      </c>
      <c r="L4" s="16">
        <v>0.3679</v>
      </c>
      <c r="M4" s="29">
        <v>1.1231</v>
      </c>
    </row>
    <row r="5" ht="15.6" customHeight="1" spans="1:13">
      <c r="A5" s="12" t="s">
        <v>37</v>
      </c>
      <c r="B5" s="13" t="s">
        <v>38</v>
      </c>
      <c r="C5" s="13" t="s">
        <v>39</v>
      </c>
      <c r="D5" s="13" t="s">
        <v>32</v>
      </c>
      <c r="E5" s="16" t="s">
        <v>40</v>
      </c>
      <c r="F5" s="16">
        <v>0.1441</v>
      </c>
      <c r="G5" s="16">
        <v>-0.2433</v>
      </c>
      <c r="H5" s="16">
        <v>-0.1032</v>
      </c>
      <c r="I5" s="27">
        <v>-0.0117</v>
      </c>
      <c r="J5" s="16">
        <v>0.501</v>
      </c>
      <c r="K5" s="16">
        <v>0.5904</v>
      </c>
      <c r="L5" s="16">
        <v>0.5876</v>
      </c>
      <c r="M5" s="29">
        <v>-0.054</v>
      </c>
    </row>
    <row r="6" ht="15.6" customHeight="1" spans="1:13">
      <c r="A6" s="12" t="s">
        <v>41</v>
      </c>
      <c r="B6" s="13" t="s">
        <v>30</v>
      </c>
      <c r="C6" s="13" t="s">
        <v>42</v>
      </c>
      <c r="D6" s="13" t="s">
        <v>32</v>
      </c>
      <c r="E6" s="16" t="s">
        <v>43</v>
      </c>
      <c r="F6" s="16">
        <v>0.1115</v>
      </c>
      <c r="G6" s="16">
        <v>-0.0185</v>
      </c>
      <c r="H6" s="16">
        <v>-0.2217</v>
      </c>
      <c r="I6" s="27">
        <v>-0.0359</v>
      </c>
      <c r="J6" s="16">
        <v>0.3279</v>
      </c>
      <c r="K6" s="16">
        <v>0.4088</v>
      </c>
      <c r="L6" s="16">
        <v>0.2492</v>
      </c>
      <c r="M6" s="29">
        <v>-0.2242</v>
      </c>
    </row>
    <row r="7" ht="15.6" customHeight="1" spans="1:13">
      <c r="A7" s="12" t="s">
        <v>44</v>
      </c>
      <c r="B7" s="13" t="s">
        <v>30</v>
      </c>
      <c r="C7" s="13" t="s">
        <v>45</v>
      </c>
      <c r="D7" s="13" t="s">
        <v>32</v>
      </c>
      <c r="E7" s="16" t="s">
        <v>46</v>
      </c>
      <c r="F7" s="16">
        <v>0.0982</v>
      </c>
      <c r="G7" s="16">
        <v>-0.0707</v>
      </c>
      <c r="H7" s="16">
        <v>-0.0257</v>
      </c>
      <c r="I7" s="27">
        <v>0.3681</v>
      </c>
      <c r="J7" s="16">
        <v>0.2389</v>
      </c>
      <c r="K7" s="16">
        <v>0.2389</v>
      </c>
      <c r="L7" s="16">
        <v>0.3217</v>
      </c>
      <c r="M7" s="29">
        <v>1.0818</v>
      </c>
    </row>
    <row r="8" ht="15.6" customHeight="1" spans="1:13">
      <c r="A8" s="12" t="s">
        <v>47</v>
      </c>
      <c r="B8" s="13" t="s">
        <v>30</v>
      </c>
      <c r="C8" s="13" t="s">
        <v>48</v>
      </c>
      <c r="D8" s="13" t="s">
        <v>32</v>
      </c>
      <c r="E8" s="16" t="s">
        <v>49</v>
      </c>
      <c r="F8" s="16">
        <v>0.0853</v>
      </c>
      <c r="G8" s="16">
        <v>-0.0682</v>
      </c>
      <c r="H8" s="16">
        <v>-0.1654</v>
      </c>
      <c r="I8" s="27">
        <v>0.3511</v>
      </c>
      <c r="J8" s="16">
        <v>0.3048</v>
      </c>
      <c r="K8" s="16">
        <v>0.3538</v>
      </c>
      <c r="L8" s="16">
        <v>0.3747</v>
      </c>
      <c r="M8" s="29">
        <v>0.8835</v>
      </c>
    </row>
    <row r="9" ht="15.6" customHeight="1" spans="1:13">
      <c r="A9" s="12" t="s">
        <v>50</v>
      </c>
      <c r="B9" s="13" t="s">
        <v>30</v>
      </c>
      <c r="C9" s="13" t="s">
        <v>51</v>
      </c>
      <c r="D9" s="13" t="s">
        <v>32</v>
      </c>
      <c r="E9" s="16" t="s">
        <v>52</v>
      </c>
      <c r="F9" s="16">
        <v>0.0619</v>
      </c>
      <c r="G9" s="16">
        <v>0.0412</v>
      </c>
      <c r="H9" s="16">
        <v>-0.0733</v>
      </c>
      <c r="I9" s="27">
        <v>0.0774</v>
      </c>
      <c r="J9" s="16">
        <v>0.2171</v>
      </c>
      <c r="K9" s="16">
        <v>0.2171</v>
      </c>
      <c r="L9" s="16">
        <v>0.1858</v>
      </c>
      <c r="M9" s="29">
        <v>0.3091</v>
      </c>
    </row>
    <row r="10" ht="15.6" customHeight="1" spans="1:13">
      <c r="A10" s="12" t="s">
        <v>53</v>
      </c>
      <c r="B10" s="13" t="s">
        <v>54</v>
      </c>
      <c r="C10" s="13" t="s">
        <v>55</v>
      </c>
      <c r="D10" s="13" t="s">
        <v>32</v>
      </c>
      <c r="E10" s="16" t="s">
        <v>56</v>
      </c>
      <c r="F10" s="16">
        <v>0.0563</v>
      </c>
      <c r="G10" s="16">
        <v>-0.0875</v>
      </c>
      <c r="H10" s="16">
        <v>-0.026</v>
      </c>
      <c r="I10" s="27">
        <v>0.4983</v>
      </c>
      <c r="J10" s="16">
        <v>0.2452</v>
      </c>
      <c r="K10" s="16">
        <v>0.2452</v>
      </c>
      <c r="L10" s="16">
        <v>0.3043</v>
      </c>
      <c r="M10" s="29">
        <v>1.572</v>
      </c>
    </row>
    <row r="11" ht="15.6" customHeight="1" spans="1:13">
      <c r="A11" s="12" t="s">
        <v>57</v>
      </c>
      <c r="B11" s="13" t="s">
        <v>30</v>
      </c>
      <c r="C11" s="13" t="s">
        <v>58</v>
      </c>
      <c r="D11" s="13" t="s">
        <v>32</v>
      </c>
      <c r="E11" s="16" t="s">
        <v>59</v>
      </c>
      <c r="F11" s="16">
        <v>0.0559</v>
      </c>
      <c r="G11" s="16">
        <v>-0.1488</v>
      </c>
      <c r="H11" s="16">
        <v>-0.2162</v>
      </c>
      <c r="I11" s="27">
        <v>0.4478</v>
      </c>
      <c r="J11" s="16">
        <v>0.3385</v>
      </c>
      <c r="K11" s="16">
        <v>0.3385</v>
      </c>
      <c r="L11" s="16">
        <v>0.3539</v>
      </c>
      <c r="M11" s="29">
        <v>1.209</v>
      </c>
    </row>
    <row r="12" ht="15.6" customHeight="1" spans="1:13">
      <c r="A12" s="12" t="s">
        <v>60</v>
      </c>
      <c r="B12" s="13" t="s">
        <v>61</v>
      </c>
      <c r="C12" s="13" t="s">
        <v>62</v>
      </c>
      <c r="D12" s="13" t="s">
        <v>32</v>
      </c>
      <c r="E12" s="16" t="s">
        <v>63</v>
      </c>
      <c r="F12" s="16">
        <v>0.0544</v>
      </c>
      <c r="G12" s="16">
        <v>0.037</v>
      </c>
      <c r="H12" s="16">
        <v>-0.0148</v>
      </c>
      <c r="I12" s="27">
        <v>0.0892</v>
      </c>
      <c r="J12" s="16">
        <v>0.151</v>
      </c>
      <c r="K12" s="16">
        <v>0.151</v>
      </c>
      <c r="L12" s="16">
        <v>0.1486</v>
      </c>
      <c r="M12" s="29">
        <v>0.4656</v>
      </c>
    </row>
    <row r="13" ht="15.6" customHeight="1" spans="1:13">
      <c r="A13" s="12" t="s">
        <v>64</v>
      </c>
      <c r="B13" s="13" t="s">
        <v>30</v>
      </c>
      <c r="C13" s="13" t="s">
        <v>65</v>
      </c>
      <c r="D13" s="13" t="s">
        <v>32</v>
      </c>
      <c r="E13" s="16" t="s">
        <v>66</v>
      </c>
      <c r="F13" s="16">
        <v>0.0539</v>
      </c>
      <c r="G13" s="16">
        <v>-0.0543</v>
      </c>
      <c r="H13" s="16">
        <v>-0.1163</v>
      </c>
      <c r="I13" s="27">
        <v>0.0295</v>
      </c>
      <c r="J13" s="16">
        <v>0.2188</v>
      </c>
      <c r="K13" s="16">
        <v>0.2188</v>
      </c>
      <c r="L13" s="16">
        <v>0.1888</v>
      </c>
      <c r="M13" s="29">
        <v>0.0501</v>
      </c>
    </row>
    <row r="14" ht="15.6" customHeight="1" spans="1:13">
      <c r="A14" s="12" t="s">
        <v>67</v>
      </c>
      <c r="B14" s="13" t="s">
        <v>61</v>
      </c>
      <c r="C14" s="13" t="s">
        <v>68</v>
      </c>
      <c r="D14" s="13" t="s">
        <v>32</v>
      </c>
      <c r="E14" s="16" t="s">
        <v>69</v>
      </c>
      <c r="F14" s="16">
        <v>0.0525</v>
      </c>
      <c r="G14" s="16">
        <v>-0.0556</v>
      </c>
      <c r="H14" s="16">
        <v>-0.1281</v>
      </c>
      <c r="I14" s="27">
        <v>0.0106</v>
      </c>
      <c r="J14" s="16">
        <v>0.2084</v>
      </c>
      <c r="K14" s="16">
        <v>0.2141</v>
      </c>
      <c r="L14" s="16">
        <v>0.2093</v>
      </c>
      <c r="M14" s="29">
        <v>-0.0451</v>
      </c>
    </row>
    <row r="15" ht="15.6" customHeight="1" spans="1:13">
      <c r="A15" s="12" t="s">
        <v>70</v>
      </c>
      <c r="B15" s="13" t="s">
        <v>30</v>
      </c>
      <c r="C15" s="13" t="s">
        <v>71</v>
      </c>
      <c r="D15" s="13" t="s">
        <v>32</v>
      </c>
      <c r="E15" s="16" t="s">
        <v>72</v>
      </c>
      <c r="F15" s="16">
        <v>0.0488</v>
      </c>
      <c r="G15" s="16">
        <v>-0.0255</v>
      </c>
      <c r="H15" s="16">
        <v>-0.1088</v>
      </c>
      <c r="I15" s="27">
        <v>-0.0787</v>
      </c>
      <c r="J15" s="16">
        <v>0.1851</v>
      </c>
      <c r="K15" s="16">
        <v>0.3188</v>
      </c>
      <c r="L15" s="16">
        <v>0.2259</v>
      </c>
      <c r="M15" s="29">
        <v>-0.437</v>
      </c>
    </row>
    <row r="16" ht="15.6" customHeight="1" spans="1:13">
      <c r="A16" s="12" t="s">
        <v>73</v>
      </c>
      <c r="B16" s="13" t="s">
        <v>30</v>
      </c>
      <c r="C16" s="13" t="s">
        <v>74</v>
      </c>
      <c r="D16" s="13" t="s">
        <v>32</v>
      </c>
      <c r="E16" s="16" t="s">
        <v>75</v>
      </c>
      <c r="F16" s="16">
        <v>0.0472</v>
      </c>
      <c r="G16" s="16">
        <v>-0.0074</v>
      </c>
      <c r="H16" s="16">
        <v>-0.0622</v>
      </c>
      <c r="I16" s="27">
        <v>0.1707</v>
      </c>
      <c r="J16" s="16">
        <v>0.1965</v>
      </c>
      <c r="K16" s="16">
        <v>0.1965</v>
      </c>
      <c r="L16" s="16">
        <v>0.2174</v>
      </c>
      <c r="M16" s="29">
        <v>0.6931</v>
      </c>
    </row>
    <row r="17" ht="15.6" customHeight="1" spans="1:13">
      <c r="A17" s="12" t="s">
        <v>76</v>
      </c>
      <c r="B17" s="13" t="s">
        <v>54</v>
      </c>
      <c r="C17" s="13" t="s">
        <v>77</v>
      </c>
      <c r="D17" s="13" t="s">
        <v>32</v>
      </c>
      <c r="E17" s="16" t="s">
        <v>78</v>
      </c>
      <c r="F17" s="16">
        <v>0.0452</v>
      </c>
      <c r="G17" s="16">
        <v>-0.0425</v>
      </c>
      <c r="H17" s="16">
        <v>-0.0814</v>
      </c>
      <c r="I17" s="27">
        <v>0.1014</v>
      </c>
      <c r="J17" s="16">
        <v>0.1626</v>
      </c>
      <c r="K17" s="16">
        <v>0.1677</v>
      </c>
      <c r="L17" s="16">
        <v>0.1508</v>
      </c>
      <c r="M17" s="29">
        <v>0.5397</v>
      </c>
    </row>
    <row r="18" ht="15.6" customHeight="1" spans="1:13">
      <c r="A18" s="12" t="s">
        <v>79</v>
      </c>
      <c r="B18" s="13" t="s">
        <v>61</v>
      </c>
      <c r="C18" s="13" t="s">
        <v>80</v>
      </c>
      <c r="D18" s="13" t="s">
        <v>32</v>
      </c>
      <c r="E18" s="16" t="s">
        <v>81</v>
      </c>
      <c r="F18" s="16">
        <v>0.0439</v>
      </c>
      <c r="G18" s="16">
        <v>-0.0505</v>
      </c>
      <c r="H18" s="16">
        <v>-0.0342</v>
      </c>
      <c r="I18" s="27">
        <v>0.1657</v>
      </c>
      <c r="J18" s="16">
        <v>0.1099</v>
      </c>
      <c r="K18" s="16">
        <v>0.1217</v>
      </c>
      <c r="L18" s="16">
        <v>0.1324</v>
      </c>
      <c r="M18" s="29">
        <v>1.1007</v>
      </c>
    </row>
    <row r="19" ht="15.6" customHeight="1" spans="1:13">
      <c r="A19" s="12" t="s">
        <v>82</v>
      </c>
      <c r="B19" s="13" t="s">
        <v>30</v>
      </c>
      <c r="C19" s="13" t="s">
        <v>83</v>
      </c>
      <c r="D19" s="13" t="s">
        <v>32</v>
      </c>
      <c r="E19" s="16" t="s">
        <v>84</v>
      </c>
      <c r="F19" s="16">
        <v>0.0412</v>
      </c>
      <c r="G19" s="16">
        <v>-0.022</v>
      </c>
      <c r="H19" s="16">
        <v>-0.0225</v>
      </c>
      <c r="I19" s="27">
        <v>0.092</v>
      </c>
      <c r="J19" s="16">
        <v>0.1186</v>
      </c>
      <c r="K19" s="16">
        <v>0.3046</v>
      </c>
      <c r="L19" s="16">
        <v>0.1631</v>
      </c>
      <c r="M19" s="29">
        <v>0.4415</v>
      </c>
    </row>
    <row r="20" ht="15.6" customHeight="1" spans="1:13">
      <c r="A20" s="12" t="s">
        <v>85</v>
      </c>
      <c r="B20" s="13" t="s">
        <v>30</v>
      </c>
      <c r="C20" s="13" t="s">
        <v>86</v>
      </c>
      <c r="D20" s="13" t="s">
        <v>32</v>
      </c>
      <c r="E20" s="16" t="s">
        <v>87</v>
      </c>
      <c r="F20" s="16">
        <v>0.0362</v>
      </c>
      <c r="G20" s="16">
        <v>0.0146</v>
      </c>
      <c r="H20" s="16">
        <v>0.1128</v>
      </c>
      <c r="I20" s="27">
        <v>0.3513</v>
      </c>
      <c r="J20" s="16">
        <v>0.0873</v>
      </c>
      <c r="K20" s="16">
        <v>0.0988</v>
      </c>
      <c r="L20" s="16">
        <v>0.2269</v>
      </c>
      <c r="M20" s="29">
        <v>1.4603</v>
      </c>
    </row>
    <row r="21" ht="15.6" customHeight="1" spans="1:13">
      <c r="A21" s="12" t="s">
        <v>88</v>
      </c>
      <c r="B21" s="13" t="s">
        <v>30</v>
      </c>
      <c r="C21" s="13" t="s">
        <v>89</v>
      </c>
      <c r="D21" s="13" t="s">
        <v>32</v>
      </c>
      <c r="E21" s="16" t="s">
        <v>90</v>
      </c>
      <c r="F21" s="16">
        <v>0.0353</v>
      </c>
      <c r="G21" s="16">
        <v>-0.0838</v>
      </c>
      <c r="H21" s="16">
        <v>0.013</v>
      </c>
      <c r="I21" s="27">
        <v>0.1756</v>
      </c>
      <c r="J21" s="16">
        <v>0.1857</v>
      </c>
      <c r="K21" s="16">
        <v>0.2447</v>
      </c>
      <c r="L21" s="16">
        <v>0.2829</v>
      </c>
      <c r="M21" s="29">
        <v>0.5499</v>
      </c>
    </row>
    <row r="22" ht="15.6" customHeight="1" spans="1:13">
      <c r="A22" s="12" t="s">
        <v>91</v>
      </c>
      <c r="B22" s="13" t="s">
        <v>38</v>
      </c>
      <c r="C22" s="13" t="s">
        <v>92</v>
      </c>
      <c r="D22" s="13" t="s">
        <v>32</v>
      </c>
      <c r="E22" s="16" t="s">
        <v>93</v>
      </c>
      <c r="F22" s="16">
        <v>0.0342</v>
      </c>
      <c r="G22" s="16">
        <v>0.066</v>
      </c>
      <c r="H22" s="16">
        <v>0.2439</v>
      </c>
      <c r="I22" s="27">
        <v>0.4085</v>
      </c>
      <c r="J22" s="16">
        <v>0.0446</v>
      </c>
      <c r="K22" s="16">
        <v>0.0575</v>
      </c>
      <c r="L22" s="16">
        <v>0.1486</v>
      </c>
      <c r="M22" s="29">
        <v>2.6136</v>
      </c>
    </row>
    <row r="23" ht="15.6" customHeight="1" spans="1:13">
      <c r="A23" s="12" t="s">
        <v>94</v>
      </c>
      <c r="B23" s="13" t="s">
        <v>54</v>
      </c>
      <c r="C23" s="13" t="s">
        <v>95</v>
      </c>
      <c r="D23" s="13" t="s">
        <v>32</v>
      </c>
      <c r="E23" s="16" t="s">
        <v>96</v>
      </c>
      <c r="F23" s="16">
        <v>0.0341</v>
      </c>
      <c r="G23" s="16">
        <v>-0.0666</v>
      </c>
      <c r="H23" s="16">
        <v>-0.106</v>
      </c>
      <c r="I23" s="27">
        <v>0.0818</v>
      </c>
      <c r="J23" s="16">
        <v>0.182</v>
      </c>
      <c r="K23" s="16">
        <v>0.2532</v>
      </c>
      <c r="L23" s="16">
        <v>0.1528</v>
      </c>
      <c r="M23" s="29">
        <v>0.4044</v>
      </c>
    </row>
    <row r="24" ht="15.6" customHeight="1" spans="1:13">
      <c r="A24" s="12" t="s">
        <v>97</v>
      </c>
      <c r="B24" s="13" t="s">
        <v>30</v>
      </c>
      <c r="C24" s="13" t="s">
        <v>98</v>
      </c>
      <c r="D24" s="13" t="s">
        <v>32</v>
      </c>
      <c r="E24" s="16" t="s">
        <v>99</v>
      </c>
      <c r="F24" s="16">
        <v>0.0336</v>
      </c>
      <c r="G24" s="16">
        <v>-0.0591</v>
      </c>
      <c r="H24" s="16"/>
      <c r="I24" s="27">
        <v>-0.371</v>
      </c>
      <c r="J24" s="16"/>
      <c r="K24" s="16">
        <v>0.1551</v>
      </c>
      <c r="L24" s="16">
        <v>0.1704</v>
      </c>
      <c r="M24" s="29">
        <v>-2.294</v>
      </c>
    </row>
    <row r="25" ht="15.6" customHeight="1" spans="1:13">
      <c r="A25" s="12" t="s">
        <v>100</v>
      </c>
      <c r="B25" s="13" t="s">
        <v>30</v>
      </c>
      <c r="C25" s="13" t="s">
        <v>101</v>
      </c>
      <c r="D25" s="13" t="s">
        <v>32</v>
      </c>
      <c r="E25" s="16" t="s">
        <v>102</v>
      </c>
      <c r="F25" s="16">
        <v>0.0325</v>
      </c>
      <c r="G25" s="16">
        <v>-0.0041</v>
      </c>
      <c r="H25" s="16">
        <v>0.0226</v>
      </c>
      <c r="I25" s="27">
        <v>0.0351</v>
      </c>
      <c r="J25" s="16">
        <v>0.085</v>
      </c>
      <c r="K25" s="16">
        <v>0.121</v>
      </c>
      <c r="L25" s="16">
        <v>0.1266</v>
      </c>
      <c r="M25" s="29">
        <v>0.119</v>
      </c>
    </row>
    <row r="26" ht="15.6" customHeight="1" spans="1:13">
      <c r="A26" s="12" t="s">
        <v>103</v>
      </c>
      <c r="B26" s="13" t="s">
        <v>30</v>
      </c>
      <c r="C26" s="13" t="s">
        <v>104</v>
      </c>
      <c r="D26" s="13" t="s">
        <v>32</v>
      </c>
      <c r="E26" s="16" t="s">
        <v>105</v>
      </c>
      <c r="F26" s="16">
        <v>0.0322</v>
      </c>
      <c r="G26" s="16">
        <v>-0.0352</v>
      </c>
      <c r="H26" s="16">
        <v>-0.1181</v>
      </c>
      <c r="I26" s="27">
        <v>-0.0175</v>
      </c>
      <c r="J26" s="16">
        <v>0.1512</v>
      </c>
      <c r="K26" s="16">
        <v>0.1709</v>
      </c>
      <c r="L26" s="16">
        <v>0.1226</v>
      </c>
      <c r="M26" s="29">
        <v>-0.3058</v>
      </c>
    </row>
    <row r="27" ht="15.6" customHeight="1" spans="1:13">
      <c r="A27" s="12" t="s">
        <v>106</v>
      </c>
      <c r="B27" s="13" t="s">
        <v>54</v>
      </c>
      <c r="C27" s="13" t="s">
        <v>107</v>
      </c>
      <c r="D27" s="13" t="s">
        <v>32</v>
      </c>
      <c r="E27" s="16" t="s">
        <v>108</v>
      </c>
      <c r="F27" s="16">
        <v>0.0321</v>
      </c>
      <c r="G27" s="16">
        <v>0.1352</v>
      </c>
      <c r="H27" s="16">
        <v>0.2961</v>
      </c>
      <c r="I27" s="27">
        <v>0.5411</v>
      </c>
      <c r="J27" s="16">
        <v>0.0874</v>
      </c>
      <c r="K27" s="16">
        <v>0.0874</v>
      </c>
      <c r="L27" s="16">
        <v>0.2746</v>
      </c>
      <c r="M27" s="29">
        <v>1.8974</v>
      </c>
    </row>
    <row r="28" ht="15.6" customHeight="1" spans="1:13">
      <c r="A28" s="12" t="s">
        <v>109</v>
      </c>
      <c r="B28" s="13" t="s">
        <v>30</v>
      </c>
      <c r="C28" s="13" t="s">
        <v>110</v>
      </c>
      <c r="D28" s="13" t="s">
        <v>32</v>
      </c>
      <c r="E28" s="16" t="s">
        <v>111</v>
      </c>
      <c r="F28" s="16">
        <v>0.0309</v>
      </c>
      <c r="G28" s="16">
        <v>0.446</v>
      </c>
      <c r="H28" s="16">
        <v>0.8424</v>
      </c>
      <c r="I28" s="27">
        <v>0.8006</v>
      </c>
      <c r="J28" s="16">
        <v>0.2166</v>
      </c>
      <c r="K28" s="16">
        <v>0.3196</v>
      </c>
      <c r="L28" s="16">
        <v>0.5274</v>
      </c>
      <c r="M28" s="29">
        <v>1.4803</v>
      </c>
    </row>
    <row r="29" ht="15.6" customHeight="1" spans="1:13">
      <c r="A29" s="12" t="s">
        <v>112</v>
      </c>
      <c r="B29" s="13" t="s">
        <v>54</v>
      </c>
      <c r="C29" s="13" t="s">
        <v>113</v>
      </c>
      <c r="D29" s="13" t="s">
        <v>32</v>
      </c>
      <c r="E29" s="16" t="s">
        <v>114</v>
      </c>
      <c r="F29" s="16">
        <v>0.0238</v>
      </c>
      <c r="G29" s="16">
        <v>-0.0662</v>
      </c>
      <c r="H29" s="16">
        <v>0.0196</v>
      </c>
      <c r="I29" s="27">
        <v>0.2902</v>
      </c>
      <c r="J29" s="16">
        <v>0.1526</v>
      </c>
      <c r="K29" s="16">
        <v>0.1767</v>
      </c>
      <c r="L29" s="16">
        <v>0.2145</v>
      </c>
      <c r="M29" s="29">
        <v>1.2598</v>
      </c>
    </row>
    <row r="30" ht="15.6" customHeight="1" spans="1:13">
      <c r="A30" s="12" t="s">
        <v>115</v>
      </c>
      <c r="B30" s="13" t="s">
        <v>30</v>
      </c>
      <c r="C30" s="13" t="s">
        <v>116</v>
      </c>
      <c r="D30" s="13" t="s">
        <v>32</v>
      </c>
      <c r="E30" s="16" t="s">
        <v>117</v>
      </c>
      <c r="F30" s="16">
        <v>0.0226</v>
      </c>
      <c r="G30" s="16">
        <v>0.0272</v>
      </c>
      <c r="H30" s="16">
        <v>0.1014</v>
      </c>
      <c r="I30" s="27">
        <v>0.2789</v>
      </c>
      <c r="J30" s="16">
        <v>0.1452</v>
      </c>
      <c r="K30" s="16">
        <v>0.1452</v>
      </c>
      <c r="L30" s="16">
        <v>0.246</v>
      </c>
      <c r="M30" s="29">
        <v>1.0526</v>
      </c>
    </row>
    <row r="31" ht="15.6" customHeight="1" spans="1:13">
      <c r="A31" s="12" t="s">
        <v>118</v>
      </c>
      <c r="B31" s="13" t="s">
        <v>54</v>
      </c>
      <c r="C31" s="13" t="s">
        <v>119</v>
      </c>
      <c r="D31" s="13" t="s">
        <v>32</v>
      </c>
      <c r="E31" s="16" t="s">
        <v>120</v>
      </c>
      <c r="F31" s="16">
        <v>0.0223</v>
      </c>
      <c r="G31" s="16">
        <v>-0.012</v>
      </c>
      <c r="H31" s="16"/>
      <c r="I31" s="27">
        <v>0.1107</v>
      </c>
      <c r="J31" s="16"/>
      <c r="K31" s="16">
        <v>0.0747</v>
      </c>
      <c r="L31" s="16">
        <v>0.0789</v>
      </c>
      <c r="M31" s="29">
        <v>1.1491</v>
      </c>
    </row>
    <row r="32" ht="15.6" customHeight="1" spans="1:13">
      <c r="A32" s="12" t="s">
        <v>121</v>
      </c>
      <c r="B32" s="13" t="s">
        <v>54</v>
      </c>
      <c r="C32" s="13" t="s">
        <v>122</v>
      </c>
      <c r="D32" s="13" t="s">
        <v>32</v>
      </c>
      <c r="E32" s="16" t="s">
        <v>123</v>
      </c>
      <c r="F32" s="16">
        <v>0.0213</v>
      </c>
      <c r="G32" s="16">
        <v>0.0038</v>
      </c>
      <c r="H32" s="16">
        <v>0.2788</v>
      </c>
      <c r="I32" s="27">
        <v>0.2442</v>
      </c>
      <c r="J32" s="16">
        <v>0.0879</v>
      </c>
      <c r="K32" s="16">
        <v>0.1046</v>
      </c>
      <c r="L32" s="16">
        <v>0.1585</v>
      </c>
      <c r="M32" s="29">
        <v>1.4152</v>
      </c>
    </row>
    <row r="33" ht="15.6" customHeight="1" spans="1:13">
      <c r="A33" s="12" t="s">
        <v>60</v>
      </c>
      <c r="B33" s="13" t="s">
        <v>61</v>
      </c>
      <c r="C33" s="13" t="s">
        <v>124</v>
      </c>
      <c r="D33" s="13" t="s">
        <v>32</v>
      </c>
      <c r="E33" s="16" t="s">
        <v>125</v>
      </c>
      <c r="F33" s="16">
        <v>0.0212</v>
      </c>
      <c r="G33" s="16">
        <v>0.0485</v>
      </c>
      <c r="H33" s="16">
        <v>0.0545</v>
      </c>
      <c r="I33" s="27">
        <v>0.2277</v>
      </c>
      <c r="J33" s="16">
        <v>0.1654</v>
      </c>
      <c r="K33" s="16">
        <v>0.4643</v>
      </c>
      <c r="L33" s="16">
        <v>0.2645</v>
      </c>
      <c r="M33" s="29">
        <v>0.7854</v>
      </c>
    </row>
    <row r="34" ht="15.6" customHeight="1" spans="1:13">
      <c r="A34" s="12" t="s">
        <v>126</v>
      </c>
      <c r="B34" s="13" t="s">
        <v>54</v>
      </c>
      <c r="C34" s="13" t="s">
        <v>127</v>
      </c>
      <c r="D34" s="13" t="s">
        <v>32</v>
      </c>
      <c r="E34" s="16" t="s">
        <v>128</v>
      </c>
      <c r="F34" s="16">
        <v>0.0211</v>
      </c>
      <c r="G34" s="16">
        <v>-0.1031</v>
      </c>
      <c r="H34" s="16">
        <v>-0.1094</v>
      </c>
      <c r="I34" s="27">
        <v>0.1735</v>
      </c>
      <c r="J34" s="16">
        <v>0.1718</v>
      </c>
      <c r="K34" s="16">
        <v>0.223</v>
      </c>
      <c r="L34" s="16">
        <v>0.1751</v>
      </c>
      <c r="M34" s="29">
        <v>0.877</v>
      </c>
    </row>
    <row r="35" ht="15.6" customHeight="1" spans="1:13">
      <c r="A35" s="12" t="s">
        <v>129</v>
      </c>
      <c r="B35" s="13" t="s">
        <v>61</v>
      </c>
      <c r="C35" s="13" t="s">
        <v>130</v>
      </c>
      <c r="D35" s="13" t="s">
        <v>32</v>
      </c>
      <c r="E35" s="16" t="s">
        <v>131</v>
      </c>
      <c r="F35" s="16">
        <v>0.0204</v>
      </c>
      <c r="G35" s="16">
        <v>0.0859</v>
      </c>
      <c r="H35" s="16">
        <v>0.2128</v>
      </c>
      <c r="I35" s="27">
        <v>0.4938</v>
      </c>
      <c r="J35" s="16">
        <v>0.0886</v>
      </c>
      <c r="K35" s="16">
        <v>0.0886</v>
      </c>
      <c r="L35" s="16">
        <v>0.1719</v>
      </c>
      <c r="M35" s="29">
        <v>2.7566</v>
      </c>
    </row>
    <row r="36" ht="15.6" customHeight="1" spans="1:13">
      <c r="A36" s="12" t="s">
        <v>132</v>
      </c>
      <c r="B36" s="13" t="s">
        <v>61</v>
      </c>
      <c r="C36" s="13" t="s">
        <v>133</v>
      </c>
      <c r="D36" s="13" t="s">
        <v>32</v>
      </c>
      <c r="E36" s="16" t="s">
        <v>134</v>
      </c>
      <c r="F36" s="16">
        <v>0.0196</v>
      </c>
      <c r="G36" s="16">
        <v>-0.032</v>
      </c>
      <c r="H36" s="16">
        <v>0.0292</v>
      </c>
      <c r="I36" s="27">
        <v>0.1677</v>
      </c>
      <c r="J36" s="16">
        <v>0.1029</v>
      </c>
      <c r="K36" s="16">
        <v>0.1038</v>
      </c>
      <c r="L36" s="16">
        <v>0.1659</v>
      </c>
      <c r="M36" s="29">
        <v>0.8903</v>
      </c>
    </row>
    <row r="37" ht="15.6" customHeight="1" spans="1:13">
      <c r="A37" s="12" t="s">
        <v>135</v>
      </c>
      <c r="B37" s="13" t="s">
        <v>38</v>
      </c>
      <c r="C37" s="13" t="s">
        <v>136</v>
      </c>
      <c r="D37" s="13" t="s">
        <v>32</v>
      </c>
      <c r="E37" s="16" t="s">
        <v>137</v>
      </c>
      <c r="F37" s="16">
        <v>0.0184</v>
      </c>
      <c r="G37" s="16">
        <v>0.0057</v>
      </c>
      <c r="H37" s="16">
        <v>-0.0353</v>
      </c>
      <c r="I37" s="27">
        <v>0.0992</v>
      </c>
      <c r="J37" s="16">
        <v>0.1402</v>
      </c>
      <c r="K37" s="16">
        <v>0.1402</v>
      </c>
      <c r="L37" s="16">
        <v>0.1799</v>
      </c>
      <c r="M37" s="29">
        <v>0.4405</v>
      </c>
    </row>
    <row r="38" ht="15.6" customHeight="1" spans="1:13">
      <c r="A38" s="12" t="s">
        <v>138</v>
      </c>
      <c r="B38" s="13" t="s">
        <v>30</v>
      </c>
      <c r="C38" s="13" t="s">
        <v>139</v>
      </c>
      <c r="D38" s="13" t="s">
        <v>32</v>
      </c>
      <c r="E38" s="16" t="s">
        <v>140</v>
      </c>
      <c r="F38" s="16">
        <v>0.0157</v>
      </c>
      <c r="G38" s="16">
        <v>0.0404</v>
      </c>
      <c r="H38" s="16">
        <v>-0.2</v>
      </c>
      <c r="I38" s="27">
        <v>0.0197</v>
      </c>
      <c r="J38" s="16">
        <v>0.2507</v>
      </c>
      <c r="K38" s="16">
        <v>0.3061</v>
      </c>
      <c r="L38" s="16">
        <v>0.2342</v>
      </c>
      <c r="M38" s="29">
        <v>-0.0011</v>
      </c>
    </row>
    <row r="39" ht="15.6" customHeight="1" spans="1:13">
      <c r="A39" s="12" t="s">
        <v>141</v>
      </c>
      <c r="B39" s="13" t="s">
        <v>61</v>
      </c>
      <c r="C39" s="13" t="s">
        <v>142</v>
      </c>
      <c r="D39" s="13" t="s">
        <v>32</v>
      </c>
      <c r="E39" s="16" t="s">
        <v>143</v>
      </c>
      <c r="F39" s="16">
        <v>0.0142</v>
      </c>
      <c r="G39" s="16">
        <v>-0.0327</v>
      </c>
      <c r="H39" s="16">
        <v>0.0628</v>
      </c>
      <c r="I39" s="27">
        <v>0.191</v>
      </c>
      <c r="J39" s="16">
        <v>0.0917</v>
      </c>
      <c r="K39" s="16">
        <v>0.372</v>
      </c>
      <c r="L39" s="16">
        <v>0.2392</v>
      </c>
      <c r="M39" s="29">
        <v>0.7149</v>
      </c>
    </row>
    <row r="40" ht="15.6" customHeight="1" spans="1:13">
      <c r="A40" s="12" t="s">
        <v>144</v>
      </c>
      <c r="B40" s="13" t="s">
        <v>38</v>
      </c>
      <c r="C40" s="13" t="s">
        <v>145</v>
      </c>
      <c r="D40" s="13" t="s">
        <v>32</v>
      </c>
      <c r="E40" s="16" t="s">
        <v>146</v>
      </c>
      <c r="F40" s="16">
        <v>0.0118</v>
      </c>
      <c r="G40" s="16">
        <v>-0.0699</v>
      </c>
      <c r="H40" s="16">
        <v>-0.0131</v>
      </c>
      <c r="I40" s="27">
        <v>0.1381</v>
      </c>
      <c r="J40" s="16">
        <v>0.1007</v>
      </c>
      <c r="K40" s="16">
        <v>0.1007</v>
      </c>
      <c r="L40" s="16">
        <v>0.1451</v>
      </c>
      <c r="M40" s="29">
        <v>0.8137</v>
      </c>
    </row>
    <row r="41" ht="15.6" customHeight="1" spans="1:13">
      <c r="A41" s="12" t="s">
        <v>147</v>
      </c>
      <c r="B41" s="13" t="s">
        <v>61</v>
      </c>
      <c r="C41" s="13" t="s">
        <v>148</v>
      </c>
      <c r="D41" s="13" t="s">
        <v>32</v>
      </c>
      <c r="E41" s="16" t="s">
        <v>149</v>
      </c>
      <c r="F41" s="16">
        <v>0.0071</v>
      </c>
      <c r="G41" s="16">
        <v>-0.0069</v>
      </c>
      <c r="H41" s="16">
        <v>0.058</v>
      </c>
      <c r="I41" s="27">
        <v>0.2169</v>
      </c>
      <c r="J41" s="16">
        <v>0.0353</v>
      </c>
      <c r="K41" s="16">
        <v>0.0841</v>
      </c>
      <c r="L41" s="16">
        <v>0.1445</v>
      </c>
      <c r="M41" s="29">
        <v>1.3625</v>
      </c>
    </row>
    <row r="42" ht="15.6" customHeight="1" spans="1:13">
      <c r="A42" s="12" t="s">
        <v>150</v>
      </c>
      <c r="B42" s="13" t="s">
        <v>30</v>
      </c>
      <c r="C42" s="13" t="s">
        <v>151</v>
      </c>
      <c r="D42" s="13" t="s">
        <v>32</v>
      </c>
      <c r="E42" s="16" t="s">
        <v>152</v>
      </c>
      <c r="F42" s="16">
        <v>0.0057</v>
      </c>
      <c r="G42" s="16">
        <v>-0.0068</v>
      </c>
      <c r="H42" s="16">
        <v>-0.1154</v>
      </c>
      <c r="I42" s="27">
        <v>0.043</v>
      </c>
      <c r="J42" s="16">
        <v>0.1505</v>
      </c>
      <c r="K42" s="16">
        <v>0.5135</v>
      </c>
      <c r="L42" s="16">
        <v>0.2077</v>
      </c>
      <c r="M42" s="29">
        <v>0.1109</v>
      </c>
    </row>
    <row r="43" ht="15.6" customHeight="1" spans="1:13">
      <c r="A43" s="12" t="s">
        <v>153</v>
      </c>
      <c r="B43" s="13" t="s">
        <v>30</v>
      </c>
      <c r="C43" s="13" t="s">
        <v>154</v>
      </c>
      <c r="D43" s="13" t="s">
        <v>32</v>
      </c>
      <c r="E43" s="16" t="s">
        <v>93</v>
      </c>
      <c r="F43" s="16">
        <v>0.0034</v>
      </c>
      <c r="G43" s="16">
        <v>-0.1028</v>
      </c>
      <c r="H43" s="16"/>
      <c r="I43" s="27">
        <v>-0.2559</v>
      </c>
      <c r="J43" s="16"/>
      <c r="K43" s="16">
        <v>0.112</v>
      </c>
      <c r="L43" s="16">
        <v>0.1739</v>
      </c>
      <c r="M43" s="29">
        <v>-1.5867</v>
      </c>
    </row>
    <row r="44" ht="15.6" customHeight="1" spans="1:13">
      <c r="A44" s="12" t="s">
        <v>155</v>
      </c>
      <c r="B44" s="13" t="s">
        <v>156</v>
      </c>
      <c r="C44" s="13" t="s">
        <v>157</v>
      </c>
      <c r="D44" s="13" t="s">
        <v>32</v>
      </c>
      <c r="E44" s="16" t="s">
        <v>158</v>
      </c>
      <c r="F44" s="16">
        <v>0.0033</v>
      </c>
      <c r="G44" s="16">
        <v>0</v>
      </c>
      <c r="H44" s="16">
        <v>-0.0008</v>
      </c>
      <c r="I44" s="27">
        <v>0.0572</v>
      </c>
      <c r="J44" s="16">
        <v>0.0122</v>
      </c>
      <c r="K44" s="16">
        <v>0.0122</v>
      </c>
      <c r="L44" s="16">
        <v>0.0262</v>
      </c>
      <c r="M44" s="29">
        <v>1.4223</v>
      </c>
    </row>
    <row r="45" ht="15.6" customHeight="1" spans="1:13">
      <c r="A45" s="12" t="s">
        <v>159</v>
      </c>
      <c r="B45" s="13" t="s">
        <v>38</v>
      </c>
      <c r="C45" s="13" t="s">
        <v>160</v>
      </c>
      <c r="D45" s="13" t="s">
        <v>32</v>
      </c>
      <c r="E45" s="16" t="s">
        <v>161</v>
      </c>
      <c r="F45" s="16">
        <v>0.0025</v>
      </c>
      <c r="G45" s="16">
        <v>0.0023</v>
      </c>
      <c r="H45" s="16">
        <v>0.0102</v>
      </c>
      <c r="I45" s="27">
        <v>0.0298</v>
      </c>
      <c r="J45" s="16">
        <v>0.0208</v>
      </c>
      <c r="K45" s="16">
        <v>0.1155</v>
      </c>
      <c r="L45" s="16">
        <v>0.073</v>
      </c>
      <c r="M45" s="29">
        <v>0.1349</v>
      </c>
    </row>
    <row r="46" ht="15.6" customHeight="1" spans="1:13">
      <c r="A46" s="12" t="s">
        <v>162</v>
      </c>
      <c r="B46" s="13" t="s">
        <v>30</v>
      </c>
      <c r="C46" s="13" t="s">
        <v>163</v>
      </c>
      <c r="D46" s="13" t="s">
        <v>32</v>
      </c>
      <c r="E46" s="16" t="s">
        <v>164</v>
      </c>
      <c r="F46" s="16">
        <v>0</v>
      </c>
      <c r="G46" s="16">
        <v>-0.0997</v>
      </c>
      <c r="H46" s="16">
        <v>-0.0801</v>
      </c>
      <c r="I46" s="27">
        <v>-0.0984</v>
      </c>
      <c r="J46" s="16">
        <v>0.1866</v>
      </c>
      <c r="K46" s="16">
        <v>0.2008</v>
      </c>
      <c r="L46" s="16">
        <v>0.1321</v>
      </c>
      <c r="M46" s="29">
        <v>-0.8958</v>
      </c>
    </row>
    <row r="47" ht="15.6" customHeight="1" spans="1:13">
      <c r="A47" s="12" t="s">
        <v>165</v>
      </c>
      <c r="B47" s="13" t="s">
        <v>30</v>
      </c>
      <c r="C47" s="13" t="s">
        <v>166</v>
      </c>
      <c r="D47" s="13" t="s">
        <v>32</v>
      </c>
      <c r="E47" s="16" t="s">
        <v>167</v>
      </c>
      <c r="F47" s="16">
        <v>0</v>
      </c>
      <c r="G47" s="16">
        <v>0.0234</v>
      </c>
      <c r="H47" s="16">
        <v>-0.2273</v>
      </c>
      <c r="I47" s="27">
        <v>-0.5151</v>
      </c>
      <c r="J47" s="16">
        <v>0.376</v>
      </c>
      <c r="K47" s="16">
        <v>0.812</v>
      </c>
      <c r="L47" s="16">
        <v>0.4761</v>
      </c>
      <c r="M47" s="29">
        <v>-1.1241</v>
      </c>
    </row>
    <row r="48" ht="15.6" customHeight="1" spans="1:13">
      <c r="A48" s="12" t="s">
        <v>168</v>
      </c>
      <c r="B48" s="13" t="s">
        <v>30</v>
      </c>
      <c r="C48" s="13" t="s">
        <v>169</v>
      </c>
      <c r="D48" s="13" t="s">
        <v>32</v>
      </c>
      <c r="E48" s="16" t="s">
        <v>170</v>
      </c>
      <c r="F48" s="16">
        <v>-0.0006</v>
      </c>
      <c r="G48" s="16">
        <v>0.1068</v>
      </c>
      <c r="H48" s="16">
        <v>0.2734</v>
      </c>
      <c r="I48" s="27">
        <v>0.1688</v>
      </c>
      <c r="J48" s="16">
        <v>0.0894</v>
      </c>
      <c r="K48" s="16">
        <v>0.2959</v>
      </c>
      <c r="L48" s="16">
        <v>0.2964</v>
      </c>
      <c r="M48" s="29">
        <v>0.5021</v>
      </c>
    </row>
    <row r="49" ht="15.6" customHeight="1" spans="1:13">
      <c r="A49" s="12" t="s">
        <v>171</v>
      </c>
      <c r="B49" s="13" t="s">
        <v>156</v>
      </c>
      <c r="C49" s="13" t="s">
        <v>172</v>
      </c>
      <c r="D49" s="13" t="s">
        <v>32</v>
      </c>
      <c r="E49" s="16" t="s">
        <v>173</v>
      </c>
      <c r="F49" s="16">
        <v>-0.0019</v>
      </c>
      <c r="G49" s="16">
        <v>-0.0704</v>
      </c>
      <c r="H49" s="16">
        <v>-0.062</v>
      </c>
      <c r="I49" s="27">
        <v>0.1769</v>
      </c>
      <c r="J49" s="16">
        <v>0.1634</v>
      </c>
      <c r="K49" s="16">
        <v>0.1685</v>
      </c>
      <c r="L49" s="16">
        <v>0.1186</v>
      </c>
      <c r="M49" s="29">
        <v>1.3228</v>
      </c>
    </row>
    <row r="50" ht="15.6" customHeight="1" spans="1:13">
      <c r="A50" s="12" t="s">
        <v>174</v>
      </c>
      <c r="B50" s="13" t="s">
        <v>54</v>
      </c>
      <c r="C50" s="13" t="s">
        <v>175</v>
      </c>
      <c r="D50" s="13" t="s">
        <v>32</v>
      </c>
      <c r="E50" s="16" t="s">
        <v>176</v>
      </c>
      <c r="F50" s="16">
        <v>-0.0025</v>
      </c>
      <c r="G50" s="16">
        <v>0.1095</v>
      </c>
      <c r="H50" s="16">
        <v>0.1989</v>
      </c>
      <c r="I50" s="27">
        <v>0.712</v>
      </c>
      <c r="J50" s="16">
        <v>0.0573</v>
      </c>
      <c r="K50" s="16">
        <v>0.072</v>
      </c>
      <c r="L50" s="16">
        <v>0.2552</v>
      </c>
      <c r="M50" s="29">
        <v>2.7116</v>
      </c>
    </row>
    <row r="51" ht="15.6" customHeight="1" spans="1:13">
      <c r="A51" s="12" t="s">
        <v>177</v>
      </c>
      <c r="B51" s="13" t="s">
        <v>38</v>
      </c>
      <c r="C51" s="13" t="s">
        <v>178</v>
      </c>
      <c r="D51" s="13" t="s">
        <v>32</v>
      </c>
      <c r="E51" s="16" t="s">
        <v>179</v>
      </c>
      <c r="F51" s="16">
        <v>-0.0037</v>
      </c>
      <c r="G51" s="16">
        <v>0.0215</v>
      </c>
      <c r="H51" s="16">
        <v>0.1132</v>
      </c>
      <c r="I51" s="27">
        <v>0.1866</v>
      </c>
      <c r="J51" s="16">
        <v>0.0985</v>
      </c>
      <c r="K51" s="16">
        <v>0.1902</v>
      </c>
      <c r="L51" s="16">
        <v>0.2068</v>
      </c>
      <c r="M51" s="29">
        <v>0.8057</v>
      </c>
    </row>
    <row r="52" ht="15.6" customHeight="1" spans="1:13">
      <c r="A52" s="12" t="s">
        <v>180</v>
      </c>
      <c r="B52" s="13" t="s">
        <v>38</v>
      </c>
      <c r="C52" s="13" t="s">
        <v>181</v>
      </c>
      <c r="D52" s="13" t="s">
        <v>32</v>
      </c>
      <c r="E52" s="16" t="s">
        <v>182</v>
      </c>
      <c r="F52" s="16">
        <v>-0.0048</v>
      </c>
      <c r="G52" s="16">
        <v>0.0641</v>
      </c>
      <c r="H52" s="16">
        <v>-0.0125</v>
      </c>
      <c r="I52" s="27">
        <v>0.2717</v>
      </c>
      <c r="J52" s="16">
        <v>0.1415</v>
      </c>
      <c r="K52" s="16">
        <v>0.1415</v>
      </c>
      <c r="L52" s="16">
        <v>0.207</v>
      </c>
      <c r="M52" s="29">
        <v>1.2162</v>
      </c>
    </row>
    <row r="53" ht="15.6" customHeight="1" spans="1:13">
      <c r="A53" s="12" t="s">
        <v>183</v>
      </c>
      <c r="B53" s="13" t="s">
        <v>30</v>
      </c>
      <c r="C53" s="13" t="s">
        <v>184</v>
      </c>
      <c r="D53" s="13" t="s">
        <v>32</v>
      </c>
      <c r="E53" s="16" t="s">
        <v>185</v>
      </c>
      <c r="F53" s="16">
        <v>-0.008</v>
      </c>
      <c r="G53" s="16">
        <v>0.0453</v>
      </c>
      <c r="H53" s="16">
        <v>0.4387</v>
      </c>
      <c r="I53" s="27">
        <v>0.4304</v>
      </c>
      <c r="J53" s="16">
        <v>0.1866</v>
      </c>
      <c r="K53" s="16">
        <v>0.1866</v>
      </c>
      <c r="L53" s="16">
        <v>0.3286</v>
      </c>
      <c r="M53" s="29">
        <v>1.2486</v>
      </c>
    </row>
    <row r="54" ht="15.6" customHeight="1" spans="1:13">
      <c r="A54" s="12" t="s">
        <v>186</v>
      </c>
      <c r="B54" s="13" t="s">
        <v>30</v>
      </c>
      <c r="C54" s="13" t="s">
        <v>187</v>
      </c>
      <c r="D54" s="13" t="s">
        <v>32</v>
      </c>
      <c r="E54" s="16" t="s">
        <v>188</v>
      </c>
      <c r="F54" s="16">
        <v>-0.0102</v>
      </c>
      <c r="G54" s="16">
        <v>-0.0027</v>
      </c>
      <c r="H54" s="16">
        <v>0.1577</v>
      </c>
      <c r="I54" s="27">
        <v>0.2592</v>
      </c>
      <c r="J54" s="16">
        <v>0.1411</v>
      </c>
      <c r="K54" s="16">
        <v>0.1411</v>
      </c>
      <c r="L54" s="16">
        <v>0.2017</v>
      </c>
      <c r="M54" s="29">
        <v>1.1861</v>
      </c>
    </row>
    <row r="55" ht="15.6" customHeight="1" spans="1:13">
      <c r="A55" s="12" t="s">
        <v>189</v>
      </c>
      <c r="B55" s="13" t="s">
        <v>30</v>
      </c>
      <c r="C55" s="13" t="s">
        <v>190</v>
      </c>
      <c r="D55" s="13" t="s">
        <v>32</v>
      </c>
      <c r="E55" s="16" t="s">
        <v>191</v>
      </c>
      <c r="F55" s="16">
        <v>-0.0113</v>
      </c>
      <c r="G55" s="16">
        <v>-0.1134</v>
      </c>
      <c r="H55" s="16">
        <v>-0.0071</v>
      </c>
      <c r="I55" s="27">
        <v>0.314</v>
      </c>
      <c r="J55" s="16">
        <v>0.2063</v>
      </c>
      <c r="K55" s="16">
        <v>0.3689</v>
      </c>
      <c r="L55" s="16">
        <v>0.4508</v>
      </c>
      <c r="M55" s="29">
        <v>0.6523</v>
      </c>
    </row>
    <row r="56" ht="15.6" customHeight="1" spans="1:13">
      <c r="A56" s="12" t="s">
        <v>192</v>
      </c>
      <c r="B56" s="13" t="s">
        <v>30</v>
      </c>
      <c r="C56" s="13" t="s">
        <v>193</v>
      </c>
      <c r="D56" s="13" t="s">
        <v>32</v>
      </c>
      <c r="E56" s="16" t="s">
        <v>194</v>
      </c>
      <c r="F56" s="16">
        <v>-0.0143</v>
      </c>
      <c r="G56" s="16">
        <v>-0.0408</v>
      </c>
      <c r="H56" s="16">
        <v>0.2036</v>
      </c>
      <c r="I56" s="27">
        <v>0.3649</v>
      </c>
      <c r="J56" s="16">
        <v>0.1472</v>
      </c>
      <c r="K56" s="16">
        <v>0.1615</v>
      </c>
      <c r="L56" s="16">
        <v>0.2792</v>
      </c>
      <c r="M56" s="29">
        <v>1.2351</v>
      </c>
    </row>
    <row r="57" ht="15.6" customHeight="1" spans="1:13">
      <c r="A57" s="12" t="s">
        <v>195</v>
      </c>
      <c r="B57" s="13" t="s">
        <v>61</v>
      </c>
      <c r="C57" s="13" t="s">
        <v>196</v>
      </c>
      <c r="D57" s="13" t="s">
        <v>32</v>
      </c>
      <c r="E57" s="16" t="s">
        <v>197</v>
      </c>
      <c r="F57" s="16">
        <v>-0.0191</v>
      </c>
      <c r="G57" s="16">
        <v>0.0122</v>
      </c>
      <c r="H57" s="16">
        <v>0.1893</v>
      </c>
      <c r="I57" s="27">
        <v>0.2611</v>
      </c>
      <c r="J57" s="16">
        <v>0.1101</v>
      </c>
      <c r="K57" s="16">
        <v>0.1101</v>
      </c>
      <c r="L57" s="16">
        <v>0.1735</v>
      </c>
      <c r="M57" s="29">
        <v>1.3901</v>
      </c>
    </row>
    <row r="58" ht="15.6" customHeight="1" spans="1:13">
      <c r="A58" s="12" t="s">
        <v>198</v>
      </c>
      <c r="B58" s="13" t="s">
        <v>54</v>
      </c>
      <c r="C58" s="13" t="s">
        <v>199</v>
      </c>
      <c r="D58" s="13" t="s">
        <v>32</v>
      </c>
      <c r="E58" s="16" t="s">
        <v>200</v>
      </c>
      <c r="F58" s="16">
        <v>-0.0209</v>
      </c>
      <c r="G58" s="16">
        <v>-0.0597</v>
      </c>
      <c r="H58" s="16">
        <v>-0.0827</v>
      </c>
      <c r="I58" s="27">
        <v>0.117</v>
      </c>
      <c r="J58" s="16">
        <v>0.2623</v>
      </c>
      <c r="K58" s="16">
        <v>0.5302</v>
      </c>
      <c r="L58" s="16">
        <v>0.2647</v>
      </c>
      <c r="M58" s="29">
        <v>0.3666</v>
      </c>
    </row>
    <row r="59" ht="15.6" customHeight="1" spans="1:13">
      <c r="A59" s="12" t="s">
        <v>201</v>
      </c>
      <c r="B59" s="13" t="s">
        <v>30</v>
      </c>
      <c r="C59" s="13" t="s">
        <v>202</v>
      </c>
      <c r="D59" s="13" t="s">
        <v>32</v>
      </c>
      <c r="E59" s="16" t="s">
        <v>203</v>
      </c>
      <c r="F59" s="16">
        <v>-0.0213</v>
      </c>
      <c r="G59" s="16">
        <v>-0.0718</v>
      </c>
      <c r="H59" s="16">
        <v>-0.1628</v>
      </c>
      <c r="I59" s="27">
        <v>-0.1816</v>
      </c>
      <c r="J59" s="16">
        <v>0.2006</v>
      </c>
      <c r="K59" s="16">
        <v>0.3428</v>
      </c>
      <c r="L59" s="16">
        <v>0.1908</v>
      </c>
      <c r="M59" s="29">
        <v>-1.0568</v>
      </c>
    </row>
    <row r="60" ht="15.6" customHeight="1" spans="1:13">
      <c r="A60" s="12" t="s">
        <v>204</v>
      </c>
      <c r="B60" s="13" t="s">
        <v>54</v>
      </c>
      <c r="C60" s="13" t="s">
        <v>205</v>
      </c>
      <c r="D60" s="13" t="s">
        <v>32</v>
      </c>
      <c r="E60" s="16" t="s">
        <v>206</v>
      </c>
      <c r="F60" s="16">
        <v>-0.0234</v>
      </c>
      <c r="G60" s="16">
        <v>0.0177</v>
      </c>
      <c r="H60" s="16">
        <v>-0.0435</v>
      </c>
      <c r="I60" s="27">
        <v>0.1244</v>
      </c>
      <c r="J60" s="16">
        <v>0.1444</v>
      </c>
      <c r="K60" s="16">
        <v>0.3347</v>
      </c>
      <c r="L60" s="16">
        <v>0.2482</v>
      </c>
      <c r="M60" s="29">
        <v>0.4206</v>
      </c>
    </row>
    <row r="61" ht="15.6" customHeight="1" spans="1:13">
      <c r="A61" s="12" t="s">
        <v>207</v>
      </c>
      <c r="B61" s="13" t="s">
        <v>30</v>
      </c>
      <c r="C61" s="13" t="s">
        <v>208</v>
      </c>
      <c r="D61" s="13" t="s">
        <v>32</v>
      </c>
      <c r="E61" s="16" t="s">
        <v>209</v>
      </c>
      <c r="F61" s="16">
        <v>-0.0237</v>
      </c>
      <c r="G61" s="16">
        <v>0.0067</v>
      </c>
      <c r="H61" s="16">
        <v>0.0714</v>
      </c>
      <c r="I61" s="27">
        <v>0.0194</v>
      </c>
      <c r="J61" s="16">
        <v>0.088</v>
      </c>
      <c r="K61" s="16">
        <v>0.1029</v>
      </c>
      <c r="L61" s="16">
        <v>0.116</v>
      </c>
      <c r="M61" s="29">
        <v>-0.0052</v>
      </c>
    </row>
    <row r="62" ht="15.6" customHeight="1" spans="1:13">
      <c r="A62" s="12" t="s">
        <v>210</v>
      </c>
      <c r="B62" s="13" t="s">
        <v>30</v>
      </c>
      <c r="C62" s="13" t="s">
        <v>211</v>
      </c>
      <c r="D62" s="13" t="s">
        <v>32</v>
      </c>
      <c r="E62" s="16" t="s">
        <v>212</v>
      </c>
      <c r="F62" s="16">
        <v>-0.0262</v>
      </c>
      <c r="G62" s="16">
        <v>-0.0057</v>
      </c>
      <c r="H62" s="16">
        <v>0.126</v>
      </c>
      <c r="I62" s="27">
        <v>0.2372</v>
      </c>
      <c r="J62" s="16">
        <v>0.1873</v>
      </c>
      <c r="K62" s="16">
        <v>0.3091</v>
      </c>
      <c r="L62" s="16">
        <v>0.3845</v>
      </c>
      <c r="M62" s="29">
        <v>0.5649</v>
      </c>
    </row>
    <row r="63" ht="15.6" customHeight="1" spans="1:13">
      <c r="A63" s="12" t="s">
        <v>213</v>
      </c>
      <c r="B63" s="13" t="s">
        <v>30</v>
      </c>
      <c r="C63" s="13" t="s">
        <v>214</v>
      </c>
      <c r="D63" s="13" t="s">
        <v>32</v>
      </c>
      <c r="E63" s="16" t="s">
        <v>215</v>
      </c>
      <c r="F63" s="16">
        <v>-0.0289</v>
      </c>
      <c r="G63" s="16">
        <v>-0.0056</v>
      </c>
      <c r="H63" s="16">
        <v>0.2247</v>
      </c>
      <c r="I63" s="27">
        <v>0.4428</v>
      </c>
      <c r="J63" s="16">
        <v>0.0562</v>
      </c>
      <c r="K63" s="16">
        <v>0.0795</v>
      </c>
      <c r="L63" s="16">
        <v>0.2179</v>
      </c>
      <c r="M63" s="29">
        <v>1.9406</v>
      </c>
    </row>
    <row r="64" ht="15.6" customHeight="1" spans="1:13">
      <c r="A64" s="12" t="s">
        <v>216</v>
      </c>
      <c r="B64" s="13" t="s">
        <v>217</v>
      </c>
      <c r="C64" s="13" t="s">
        <v>218</v>
      </c>
      <c r="D64" s="13" t="s">
        <v>32</v>
      </c>
      <c r="E64" s="16" t="s">
        <v>219</v>
      </c>
      <c r="F64" s="16">
        <v>-0.0317</v>
      </c>
      <c r="G64" s="16">
        <v>0.0636</v>
      </c>
      <c r="H64" s="16">
        <v>0.3755</v>
      </c>
      <c r="I64" s="27">
        <v>0.3455</v>
      </c>
      <c r="J64" s="16">
        <v>0.1026</v>
      </c>
      <c r="K64" s="16">
        <v>0.1247</v>
      </c>
      <c r="L64" s="16">
        <v>0.1981</v>
      </c>
      <c r="M64" s="29">
        <v>1.6436</v>
      </c>
    </row>
    <row r="65" ht="15.6" customHeight="1" spans="1:13">
      <c r="A65" s="12" t="s">
        <v>220</v>
      </c>
      <c r="B65" s="13" t="s">
        <v>54</v>
      </c>
      <c r="C65" s="13" t="s">
        <v>221</v>
      </c>
      <c r="D65" s="13" t="s">
        <v>32</v>
      </c>
      <c r="E65" s="16" t="s">
        <v>222</v>
      </c>
      <c r="F65" s="16">
        <v>-0.037</v>
      </c>
      <c r="G65" s="16">
        <v>0.0008</v>
      </c>
      <c r="H65" s="16">
        <v>0.2396</v>
      </c>
      <c r="I65" s="27">
        <v>0.1392</v>
      </c>
      <c r="J65" s="16">
        <v>0.0932</v>
      </c>
      <c r="K65" s="16">
        <v>0.0978</v>
      </c>
      <c r="L65" s="16">
        <v>0.1731</v>
      </c>
      <c r="M65" s="29">
        <v>0.6885</v>
      </c>
    </row>
    <row r="66" ht="15.6" customHeight="1" spans="1:13">
      <c r="A66" s="12" t="s">
        <v>223</v>
      </c>
      <c r="B66" s="13" t="s">
        <v>217</v>
      </c>
      <c r="C66" s="13" t="s">
        <v>224</v>
      </c>
      <c r="D66" s="13" t="s">
        <v>32</v>
      </c>
      <c r="E66" s="16" t="s">
        <v>225</v>
      </c>
      <c r="F66" s="16">
        <v>-0.0378</v>
      </c>
      <c r="G66" s="16">
        <v>0.01</v>
      </c>
      <c r="H66" s="16">
        <v>0.0636</v>
      </c>
      <c r="I66" s="27">
        <v>0.2125</v>
      </c>
      <c r="J66" s="16">
        <v>0.1197</v>
      </c>
      <c r="K66" s="16">
        <v>0.1197</v>
      </c>
      <c r="L66" s="16">
        <v>0.1695</v>
      </c>
      <c r="M66" s="29">
        <v>1.1356</v>
      </c>
    </row>
    <row r="67" ht="15.6" customHeight="1" spans="1:13">
      <c r="A67" s="12" t="s">
        <v>226</v>
      </c>
      <c r="B67" s="13" t="s">
        <v>156</v>
      </c>
      <c r="C67" s="13" t="s">
        <v>227</v>
      </c>
      <c r="D67" s="13" t="s">
        <v>32</v>
      </c>
      <c r="E67" s="16" t="s">
        <v>228</v>
      </c>
      <c r="F67" s="16">
        <v>-0.0458</v>
      </c>
      <c r="G67" s="16">
        <v>-0.0498</v>
      </c>
      <c r="H67" s="16">
        <v>0.3952</v>
      </c>
      <c r="I67" s="27">
        <v>0.1546</v>
      </c>
      <c r="J67" s="16">
        <v>0.0895</v>
      </c>
      <c r="K67" s="16">
        <v>0.2043</v>
      </c>
      <c r="L67" s="16">
        <v>0.2737</v>
      </c>
      <c r="M67" s="29">
        <v>0.4918</v>
      </c>
    </row>
    <row r="68" ht="15.6" customHeight="1" spans="1:13">
      <c r="A68" s="12" t="s">
        <v>229</v>
      </c>
      <c r="B68" s="13" t="s">
        <v>54</v>
      </c>
      <c r="C68" s="13" t="s">
        <v>230</v>
      </c>
      <c r="D68" s="13" t="s">
        <v>32</v>
      </c>
      <c r="E68" s="16" t="s">
        <v>231</v>
      </c>
      <c r="F68" s="16">
        <v>-0.0471</v>
      </c>
      <c r="G68" s="16">
        <v>0.1019</v>
      </c>
      <c r="H68" s="16">
        <v>0.2807</v>
      </c>
      <c r="I68" s="27">
        <v>0.3049</v>
      </c>
      <c r="J68" s="16">
        <v>0.1823</v>
      </c>
      <c r="K68" s="16">
        <v>0.2474</v>
      </c>
      <c r="L68" s="16">
        <v>0.352</v>
      </c>
      <c r="M68" s="29">
        <v>0.8094</v>
      </c>
    </row>
    <row r="69" ht="15.6" customHeight="1" spans="1:13">
      <c r="A69" s="12" t="s">
        <v>232</v>
      </c>
      <c r="B69" s="13" t="s">
        <v>30</v>
      </c>
      <c r="C69" s="13" t="s">
        <v>233</v>
      </c>
      <c r="D69" s="13" t="s">
        <v>32</v>
      </c>
      <c r="E69" s="16" t="s">
        <v>234</v>
      </c>
      <c r="F69" s="16">
        <v>-0.0491</v>
      </c>
      <c r="G69" s="16">
        <v>-0.0945</v>
      </c>
      <c r="H69" s="16">
        <v>-0.0234</v>
      </c>
      <c r="I69" s="27">
        <v>0.132</v>
      </c>
      <c r="J69" s="16">
        <v>0.1185</v>
      </c>
      <c r="K69" s="16">
        <v>0.1185</v>
      </c>
      <c r="L69" s="16">
        <v>0.206</v>
      </c>
      <c r="M69" s="29">
        <v>0.5435</v>
      </c>
    </row>
    <row r="70" ht="15.6" customHeight="1" spans="1:13">
      <c r="A70" s="12" t="s">
        <v>235</v>
      </c>
      <c r="B70" s="13" t="s">
        <v>30</v>
      </c>
      <c r="C70" s="13" t="s">
        <v>236</v>
      </c>
      <c r="D70" s="13" t="s">
        <v>32</v>
      </c>
      <c r="E70" s="16" t="s">
        <v>203</v>
      </c>
      <c r="F70" s="16">
        <v>-0.0533</v>
      </c>
      <c r="G70" s="16">
        <v>0.2443</v>
      </c>
      <c r="H70" s="16">
        <v>0.6032</v>
      </c>
      <c r="I70" s="27">
        <v>0.9614</v>
      </c>
      <c r="J70" s="16">
        <v>0.2544</v>
      </c>
      <c r="K70" s="16">
        <v>0.2544</v>
      </c>
      <c r="L70" s="16">
        <v>0.4874</v>
      </c>
      <c r="M70" s="29">
        <v>1.9316</v>
      </c>
    </row>
    <row r="71" ht="15.6" customHeight="1" spans="1:13">
      <c r="A71" s="12" t="s">
        <v>237</v>
      </c>
      <c r="B71" s="13" t="s">
        <v>30</v>
      </c>
      <c r="C71" s="13" t="s">
        <v>238</v>
      </c>
      <c r="D71" s="13" t="s">
        <v>32</v>
      </c>
      <c r="E71" s="16" t="s">
        <v>239</v>
      </c>
      <c r="F71" s="16">
        <v>-0.0596</v>
      </c>
      <c r="G71" s="16">
        <v>-0.122</v>
      </c>
      <c r="H71" s="16">
        <v>0.2347</v>
      </c>
      <c r="I71" s="27">
        <v>1.1398</v>
      </c>
      <c r="J71" s="16">
        <v>0.2261</v>
      </c>
      <c r="K71" s="16">
        <v>0.3411</v>
      </c>
      <c r="L71" s="16">
        <v>0.5994</v>
      </c>
      <c r="M71" s="29">
        <v>1.868</v>
      </c>
    </row>
    <row r="72" ht="15.6" customHeight="1" spans="1:13">
      <c r="A72" s="12" t="s">
        <v>240</v>
      </c>
      <c r="B72" s="13" t="s">
        <v>38</v>
      </c>
      <c r="C72" s="13" t="s">
        <v>241</v>
      </c>
      <c r="D72" s="13" t="s">
        <v>32</v>
      </c>
      <c r="E72" s="16" t="s">
        <v>242</v>
      </c>
      <c r="F72" s="16">
        <v>-0.0655</v>
      </c>
      <c r="G72" s="16">
        <v>-0.0713</v>
      </c>
      <c r="H72" s="16">
        <v>0.0363</v>
      </c>
      <c r="I72" s="27">
        <v>0.2412</v>
      </c>
      <c r="J72" s="16">
        <v>0.1138</v>
      </c>
      <c r="K72" s="16">
        <v>0.4647</v>
      </c>
      <c r="L72" s="16">
        <v>0.299</v>
      </c>
      <c r="M72" s="29">
        <v>0.7397</v>
      </c>
    </row>
    <row r="73" ht="15.6" customHeight="1" spans="1:13">
      <c r="A73" s="12" t="s">
        <v>243</v>
      </c>
      <c r="B73" s="13" t="s">
        <v>61</v>
      </c>
      <c r="C73" s="13" t="s">
        <v>244</v>
      </c>
      <c r="D73" s="13" t="s">
        <v>32</v>
      </c>
      <c r="E73" s="16" t="s">
        <v>245</v>
      </c>
      <c r="F73" s="16">
        <v>-0.084</v>
      </c>
      <c r="G73" s="16">
        <v>-0.0475</v>
      </c>
      <c r="H73" s="16">
        <v>0.3751</v>
      </c>
      <c r="I73" s="27">
        <v>0.3132</v>
      </c>
      <c r="J73" s="16">
        <v>0.1283</v>
      </c>
      <c r="K73" s="16">
        <v>0.209</v>
      </c>
      <c r="L73" s="16">
        <v>0.2483</v>
      </c>
      <c r="M73" s="29">
        <v>1.1806</v>
      </c>
    </row>
    <row r="74" ht="15.6" customHeight="1" spans="1:13">
      <c r="A74" s="12" t="s">
        <v>246</v>
      </c>
      <c r="B74" s="13" t="s">
        <v>30</v>
      </c>
      <c r="C74" s="13" t="s">
        <v>247</v>
      </c>
      <c r="D74" s="13" t="s">
        <v>32</v>
      </c>
      <c r="E74" s="16" t="s">
        <v>248</v>
      </c>
      <c r="F74" s="16">
        <v>-0.0881</v>
      </c>
      <c r="G74" s="16">
        <v>0.2086</v>
      </c>
      <c r="H74" s="16">
        <v>0.4073</v>
      </c>
      <c r="I74" s="27">
        <v>0.4193</v>
      </c>
      <c r="J74" s="16">
        <v>0.1482</v>
      </c>
      <c r="K74" s="16">
        <v>0.1832</v>
      </c>
      <c r="L74" s="16">
        <v>0.3067</v>
      </c>
      <c r="M74" s="29">
        <v>1.3016</v>
      </c>
    </row>
    <row r="75" ht="15.6" customHeight="1" spans="1:13">
      <c r="A75" s="12" t="s">
        <v>249</v>
      </c>
      <c r="B75" s="13" t="s">
        <v>156</v>
      </c>
      <c r="C75" s="13" t="s">
        <v>250</v>
      </c>
      <c r="D75" s="13" t="s">
        <v>32</v>
      </c>
      <c r="E75" s="16" t="s">
        <v>251</v>
      </c>
      <c r="F75" s="16">
        <v>-0.0989</v>
      </c>
      <c r="G75" s="16">
        <v>0.0238</v>
      </c>
      <c r="H75" s="16">
        <v>0.6419</v>
      </c>
      <c r="I75" s="27">
        <v>0.1443</v>
      </c>
      <c r="J75" s="16">
        <v>0.1413</v>
      </c>
      <c r="K75" s="16">
        <v>0.3501</v>
      </c>
      <c r="L75" s="16">
        <v>0.1997</v>
      </c>
      <c r="M75" s="29">
        <v>0.6221</v>
      </c>
    </row>
    <row r="76" ht="15.6" customHeight="1" spans="1:13">
      <c r="A76" s="12" t="s">
        <v>252</v>
      </c>
      <c r="B76" s="13" t="s">
        <v>30</v>
      </c>
      <c r="C76" s="13" t="s">
        <v>253</v>
      </c>
      <c r="D76" s="13" t="s">
        <v>32</v>
      </c>
      <c r="E76" s="16" t="s">
        <v>254</v>
      </c>
      <c r="F76" s="16">
        <v>-0.0992</v>
      </c>
      <c r="G76" s="16">
        <v>0.2434</v>
      </c>
      <c r="H76" s="16">
        <v>0.451</v>
      </c>
      <c r="I76" s="27">
        <v>0.5693</v>
      </c>
      <c r="J76" s="16">
        <v>0.0992</v>
      </c>
      <c r="K76" s="16">
        <v>0.2646</v>
      </c>
      <c r="L76" s="16">
        <v>0.4518</v>
      </c>
      <c r="M76" s="29">
        <v>1.2158</v>
      </c>
    </row>
    <row r="77" ht="15.6" customHeight="1" spans="1:13">
      <c r="A77" s="12" t="s">
        <v>255</v>
      </c>
      <c r="B77" s="13" t="s">
        <v>61</v>
      </c>
      <c r="C77" s="13" t="s">
        <v>256</v>
      </c>
      <c r="D77" s="13" t="s">
        <v>32</v>
      </c>
      <c r="E77" s="16" t="s">
        <v>257</v>
      </c>
      <c r="F77" s="16">
        <v>-0.1041</v>
      </c>
      <c r="G77" s="16">
        <v>-0.0445</v>
      </c>
      <c r="H77" s="16">
        <v>0.0089</v>
      </c>
      <c r="I77" s="27">
        <v>0.2588</v>
      </c>
      <c r="J77" s="16">
        <v>0.1046</v>
      </c>
      <c r="K77" s="16">
        <v>0.3531</v>
      </c>
      <c r="L77" s="16">
        <v>0.3468</v>
      </c>
      <c r="M77" s="29">
        <v>0.6886</v>
      </c>
    </row>
    <row r="78" ht="15.6" customHeight="1" spans="1:13">
      <c r="A78" s="12" t="s">
        <v>258</v>
      </c>
      <c r="B78" s="13" t="s">
        <v>30</v>
      </c>
      <c r="C78" s="13" t="s">
        <v>259</v>
      </c>
      <c r="D78" s="13" t="s">
        <v>32</v>
      </c>
      <c r="E78" s="16" t="s">
        <v>260</v>
      </c>
      <c r="F78" s="16">
        <v>-0.1053</v>
      </c>
      <c r="G78" s="16">
        <v>0.1632</v>
      </c>
      <c r="H78" s="16">
        <v>0.826</v>
      </c>
      <c r="I78" s="27">
        <v>1.6648</v>
      </c>
      <c r="J78" s="16">
        <v>0.2258</v>
      </c>
      <c r="K78" s="16">
        <v>0.396</v>
      </c>
      <c r="L78" s="16">
        <v>0.7115</v>
      </c>
      <c r="M78" s="29">
        <v>2.3117</v>
      </c>
    </row>
    <row r="79" ht="15.6" customHeight="1" spans="1:13">
      <c r="A79" s="12" t="s">
        <v>261</v>
      </c>
      <c r="B79" s="13" t="s">
        <v>38</v>
      </c>
      <c r="C79" s="13" t="s">
        <v>262</v>
      </c>
      <c r="D79" s="13" t="s">
        <v>32</v>
      </c>
      <c r="E79" s="16" t="s">
        <v>263</v>
      </c>
      <c r="F79" s="16">
        <v>-0.1195</v>
      </c>
      <c r="G79" s="16">
        <v>-0.2791</v>
      </c>
      <c r="H79" s="16">
        <v>-0.344</v>
      </c>
      <c r="I79" s="27">
        <v>0.6291</v>
      </c>
      <c r="J79" s="16">
        <v>0.3982</v>
      </c>
      <c r="K79" s="16">
        <v>0.4209</v>
      </c>
      <c r="L79" s="16">
        <v>0.7661</v>
      </c>
      <c r="M79" s="29">
        <v>0.7951</v>
      </c>
    </row>
    <row r="80" ht="15.6" customHeight="1" spans="1:13">
      <c r="A80" s="12" t="s">
        <v>264</v>
      </c>
      <c r="B80" s="13" t="s">
        <v>30</v>
      </c>
      <c r="C80" s="13" t="s">
        <v>265</v>
      </c>
      <c r="D80" s="13" t="s">
        <v>32</v>
      </c>
      <c r="E80" s="16" t="s">
        <v>266</v>
      </c>
      <c r="F80" s="16">
        <v>-0.13</v>
      </c>
      <c r="G80" s="16">
        <v>-0.0531</v>
      </c>
      <c r="H80" s="16">
        <v>0.2291</v>
      </c>
      <c r="I80" s="27">
        <v>0.4096</v>
      </c>
      <c r="J80" s="16">
        <v>0.1629</v>
      </c>
      <c r="K80" s="16">
        <v>0.4831</v>
      </c>
      <c r="L80" s="16">
        <v>0.5317</v>
      </c>
      <c r="M80" s="29">
        <v>0.7326</v>
      </c>
    </row>
    <row r="81" ht="15.6" customHeight="1" spans="1:13">
      <c r="A81" s="12" t="s">
        <v>267</v>
      </c>
      <c r="B81" s="13" t="s">
        <v>38</v>
      </c>
      <c r="C81" s="13" t="s">
        <v>268</v>
      </c>
      <c r="D81" s="13" t="s">
        <v>32</v>
      </c>
      <c r="E81" s="16" t="s">
        <v>269</v>
      </c>
      <c r="F81" s="16">
        <v>-0.1432</v>
      </c>
      <c r="G81" s="16">
        <v>0.0256</v>
      </c>
      <c r="H81" s="16">
        <v>0.6875</v>
      </c>
      <c r="I81" s="27">
        <v>0.792</v>
      </c>
      <c r="J81" s="16">
        <v>0.1797</v>
      </c>
      <c r="K81" s="16">
        <v>0.4662</v>
      </c>
      <c r="L81" s="16">
        <v>0.7218</v>
      </c>
      <c r="M81" s="29">
        <v>1.0695</v>
      </c>
    </row>
    <row r="82" ht="15.6" customHeight="1" spans="1:13">
      <c r="A82" s="12"/>
      <c r="B82" s="13"/>
      <c r="C82" s="13"/>
      <c r="D82" s="13"/>
      <c r="E82" s="16"/>
      <c r="F82" s="16"/>
      <c r="G82" s="16"/>
      <c r="H82" s="16"/>
      <c r="I82" s="29"/>
      <c r="J82" s="16"/>
      <c r="K82" s="16"/>
      <c r="L82" s="16"/>
      <c r="M82" s="29"/>
    </row>
    <row r="83" ht="15.6" customHeight="1" spans="1:13">
      <c r="A83" s="12"/>
      <c r="B83" s="13"/>
      <c r="C83" s="13"/>
      <c r="D83" s="13"/>
      <c r="E83" s="16"/>
      <c r="F83" s="16"/>
      <c r="G83" s="16"/>
      <c r="H83" s="16"/>
      <c r="I83" s="29"/>
      <c r="J83" s="16"/>
      <c r="K83" s="16"/>
      <c r="L83" s="16"/>
      <c r="M83" s="29"/>
    </row>
    <row r="84" ht="15.6" customHeight="1" spans="1:13">
      <c r="A84" s="12"/>
      <c r="B84" s="13"/>
      <c r="C84" s="13"/>
      <c r="D84" s="13"/>
      <c r="E84" s="16"/>
      <c r="F84" s="16"/>
      <c r="G84" s="16"/>
      <c r="H84" s="16"/>
      <c r="I84" s="29"/>
      <c r="J84" s="16"/>
      <c r="K84" s="16"/>
      <c r="L84" s="16"/>
      <c r="M84" s="29"/>
    </row>
    <row r="85" ht="15.6" customHeight="1" spans="1:13">
      <c r="A85" s="12"/>
      <c r="B85" s="13"/>
      <c r="C85" s="13"/>
      <c r="D85" s="13"/>
      <c r="E85" s="16"/>
      <c r="F85" s="16"/>
      <c r="G85" s="16"/>
      <c r="H85" s="16"/>
      <c r="I85" s="29"/>
      <c r="J85" s="16"/>
      <c r="K85" s="16"/>
      <c r="L85" s="16"/>
      <c r="M85" s="29"/>
    </row>
    <row r="86" ht="15.6" customHeight="1" spans="1:13">
      <c r="A86" s="12"/>
      <c r="B86" s="13"/>
      <c r="C86" s="13"/>
      <c r="D86" s="13"/>
      <c r="E86" s="16"/>
      <c r="F86" s="16"/>
      <c r="G86" s="16"/>
      <c r="H86" s="16"/>
      <c r="I86" s="29"/>
      <c r="J86" s="16"/>
      <c r="K86" s="16"/>
      <c r="L86" s="16"/>
      <c r="M86" s="29"/>
    </row>
    <row r="87" ht="15.6" customHeight="1" spans="1:13">
      <c r="A87" s="12"/>
      <c r="B87" s="13"/>
      <c r="C87" s="13"/>
      <c r="D87" s="13"/>
      <c r="E87" s="16"/>
      <c r="F87" s="16"/>
      <c r="G87" s="16"/>
      <c r="H87" s="16"/>
      <c r="I87" s="29"/>
      <c r="J87" s="16"/>
      <c r="K87" s="16"/>
      <c r="L87" s="16"/>
      <c r="M87" s="29"/>
    </row>
    <row r="88" ht="15.6" customHeight="1" spans="1:13">
      <c r="A88" s="12"/>
      <c r="B88" s="13"/>
      <c r="C88" s="13"/>
      <c r="D88" s="13"/>
      <c r="E88" s="16"/>
      <c r="F88" s="16"/>
      <c r="G88" s="16"/>
      <c r="H88" s="16"/>
      <c r="I88" s="29"/>
      <c r="J88" s="16"/>
      <c r="K88" s="16"/>
      <c r="L88" s="16"/>
      <c r="M88" s="29"/>
    </row>
    <row r="89" ht="15.6" customHeight="1" spans="1:13">
      <c r="A89" s="12"/>
      <c r="B89" s="13"/>
      <c r="C89" s="13"/>
      <c r="D89" s="13"/>
      <c r="E89" s="16"/>
      <c r="F89" s="16"/>
      <c r="G89" s="16"/>
      <c r="H89" s="16"/>
      <c r="I89" s="29"/>
      <c r="J89" s="16"/>
      <c r="K89" s="16"/>
      <c r="L89" s="16"/>
      <c r="M89" s="29"/>
    </row>
    <row r="90" ht="15.6" customHeight="1" spans="1:13">
      <c r="A90" s="12"/>
      <c r="B90" s="13"/>
      <c r="C90" s="13"/>
      <c r="D90" s="13"/>
      <c r="E90" s="16"/>
      <c r="F90" s="16"/>
      <c r="G90" s="16"/>
      <c r="H90" s="16"/>
      <c r="I90" s="29"/>
      <c r="J90" s="16"/>
      <c r="K90" s="16"/>
      <c r="L90" s="16"/>
      <c r="M90" s="29"/>
    </row>
    <row r="91" ht="15.6" customHeight="1" spans="1:13">
      <c r="A91" s="12"/>
      <c r="B91" s="13"/>
      <c r="C91" s="13"/>
      <c r="D91" s="13"/>
      <c r="E91" s="16"/>
      <c r="F91" s="16"/>
      <c r="G91" s="16"/>
      <c r="H91" s="16"/>
      <c r="I91" s="29"/>
      <c r="J91" s="16"/>
      <c r="K91" s="16"/>
      <c r="L91" s="16"/>
      <c r="M91" s="29"/>
    </row>
    <row r="92" ht="15.6" customHeight="1" spans="1:13">
      <c r="A92" s="12"/>
      <c r="B92" s="13"/>
      <c r="C92" s="13"/>
      <c r="D92" s="13"/>
      <c r="E92" s="16"/>
      <c r="F92" s="16"/>
      <c r="G92" s="16"/>
      <c r="H92" s="16"/>
      <c r="I92" s="29"/>
      <c r="J92" s="16"/>
      <c r="K92" s="16"/>
      <c r="L92" s="16"/>
      <c r="M92" s="29"/>
    </row>
    <row r="93" ht="15.6" customHeight="1" spans="1:13">
      <c r="A93" s="12"/>
      <c r="B93" s="13"/>
      <c r="C93" s="13"/>
      <c r="D93" s="13"/>
      <c r="E93" s="16"/>
      <c r="F93" s="16"/>
      <c r="G93" s="16"/>
      <c r="H93" s="16"/>
      <c r="I93" s="29"/>
      <c r="J93" s="16"/>
      <c r="K93" s="16"/>
      <c r="L93" s="16"/>
      <c r="M93" s="29"/>
    </row>
    <row r="94" ht="15.6" customHeight="1" spans="1:13">
      <c r="A94" s="12"/>
      <c r="B94" s="13"/>
      <c r="C94" s="13"/>
      <c r="D94" s="13"/>
      <c r="E94" s="16"/>
      <c r="F94" s="16"/>
      <c r="G94" s="16"/>
      <c r="H94" s="16"/>
      <c r="I94" s="29"/>
      <c r="J94" s="16"/>
      <c r="K94" s="16"/>
      <c r="L94" s="16"/>
      <c r="M94" s="29"/>
    </row>
    <row r="95" ht="15.6" customHeight="1" spans="1:13">
      <c r="A95" s="12"/>
      <c r="B95" s="13"/>
      <c r="C95" s="13"/>
      <c r="D95" s="13"/>
      <c r="E95" s="16"/>
      <c r="F95" s="16"/>
      <c r="G95" s="16"/>
      <c r="H95" s="16"/>
      <c r="I95" s="29"/>
      <c r="J95" s="16"/>
      <c r="K95" s="16"/>
      <c r="L95" s="16"/>
      <c r="M95" s="29"/>
    </row>
    <row r="96" ht="15.6" customHeight="1" spans="1:13">
      <c r="A96" s="12"/>
      <c r="B96" s="13"/>
      <c r="C96" s="13"/>
      <c r="D96" s="13"/>
      <c r="E96" s="16"/>
      <c r="F96" s="16"/>
      <c r="G96" s="16"/>
      <c r="H96" s="16"/>
      <c r="I96" s="29"/>
      <c r="J96" s="16"/>
      <c r="K96" s="16"/>
      <c r="L96" s="16"/>
      <c r="M96" s="29"/>
    </row>
    <row r="97" ht="15.6" customHeight="1" spans="1:13">
      <c r="A97" s="12"/>
      <c r="B97" s="13"/>
      <c r="C97" s="13"/>
      <c r="D97" s="13"/>
      <c r="E97" s="16"/>
      <c r="F97" s="16"/>
      <c r="G97" s="16"/>
      <c r="H97" s="16"/>
      <c r="I97" s="29"/>
      <c r="J97" s="16"/>
      <c r="K97" s="16"/>
      <c r="L97" s="16"/>
      <c r="M97" s="29"/>
    </row>
    <row r="98" ht="15.6" customHeight="1" spans="1:13">
      <c r="A98" s="12"/>
      <c r="B98" s="13"/>
      <c r="C98" s="13"/>
      <c r="D98" s="13"/>
      <c r="E98" s="16"/>
      <c r="F98" s="16"/>
      <c r="G98" s="16"/>
      <c r="H98" s="16"/>
      <c r="I98" s="29"/>
      <c r="J98" s="16"/>
      <c r="K98" s="16"/>
      <c r="L98" s="16"/>
      <c r="M98" s="29"/>
    </row>
    <row r="99" ht="15.6" customHeight="1" spans="1:13">
      <c r="A99" s="12"/>
      <c r="B99" s="13"/>
      <c r="C99" s="13"/>
      <c r="D99" s="13"/>
      <c r="E99" s="16"/>
      <c r="F99" s="16"/>
      <c r="G99" s="16"/>
      <c r="H99" s="16"/>
      <c r="I99" s="29"/>
      <c r="J99" s="16"/>
      <c r="K99" s="16"/>
      <c r="L99" s="16"/>
      <c r="M99" s="29"/>
    </row>
    <row r="100" ht="15.6" customHeight="1" spans="1:13">
      <c r="A100" s="12"/>
      <c r="B100" s="13"/>
      <c r="C100" s="13"/>
      <c r="D100" s="13"/>
      <c r="E100" s="16"/>
      <c r="F100" s="16"/>
      <c r="G100" s="16"/>
      <c r="H100" s="16"/>
      <c r="I100" s="29"/>
      <c r="J100" s="16"/>
      <c r="K100" s="16"/>
      <c r="L100" s="16"/>
      <c r="M100" s="29"/>
    </row>
  </sheetData>
  <mergeCells count="4">
    <mergeCell ref="A1:B1"/>
    <mergeCell ref="C1:E1"/>
    <mergeCell ref="F1:I1"/>
    <mergeCell ref="J1:K1"/>
  </mergeCells>
  <conditionalFormatting sqref="A3:E100 J3:M100">
    <cfRule type="expression" dxfId="0" priority="161">
      <formula>MOD(ROW(),2)=0</formula>
    </cfRule>
  </conditionalFormatting>
  <conditionalFormatting sqref="F3:I100">
    <cfRule type="expression" dxfId="0" priority="1">
      <formula>MOD(ROW(),2)=0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W101"/>
  <sheetViews>
    <sheetView workbookViewId="0">
      <pane ySplit="2" topLeftCell="A29" activePane="bottomLeft" state="frozen"/>
      <selection/>
      <selection pane="bottomLeft" activeCell="C6" sqref="C6"/>
    </sheetView>
  </sheetViews>
  <sheetFormatPr defaultColWidth="9" defaultRowHeight="14.4"/>
  <cols>
    <col min="1" max="1" width="17.6666666666667" customWidth="1"/>
    <col min="2" max="2" width="13.7777777777778" customWidth="1"/>
    <col min="3" max="3" width="28.8888888888889" customWidth="1"/>
  </cols>
  <sheetData>
    <row r="1" ht="31.2" customHeight="1" spans="1:23">
      <c r="A1" s="1" t="s">
        <v>0</v>
      </c>
      <c r="B1" s="2"/>
      <c r="C1" s="3" t="s">
        <v>1</v>
      </c>
      <c r="D1" s="4"/>
      <c r="E1" s="5"/>
      <c r="F1" s="6" t="s">
        <v>2</v>
      </c>
      <c r="G1" s="7"/>
      <c r="H1" s="7"/>
      <c r="I1" s="2"/>
      <c r="J1" s="17" t="s">
        <v>3</v>
      </c>
      <c r="K1" s="2"/>
      <c r="L1" s="18" t="s">
        <v>4</v>
      </c>
      <c r="M1" s="19" t="s">
        <v>5</v>
      </c>
      <c r="N1" s="20" t="s">
        <v>6</v>
      </c>
      <c r="O1" s="21" t="s">
        <v>7</v>
      </c>
      <c r="P1" s="21" t="s">
        <v>8</v>
      </c>
      <c r="Q1" s="21" t="s">
        <v>9</v>
      </c>
      <c r="R1" s="30" t="s">
        <v>10</v>
      </c>
      <c r="S1" s="31" t="s">
        <v>11</v>
      </c>
      <c r="T1" s="32" t="s">
        <v>12</v>
      </c>
      <c r="U1" s="32" t="s">
        <v>13</v>
      </c>
      <c r="V1" s="32" t="s">
        <v>14</v>
      </c>
      <c r="W1" s="33" t="s">
        <v>15</v>
      </c>
    </row>
    <row r="2" ht="60" customHeight="1" spans="1:23">
      <c r="A2" s="8" t="s">
        <v>16</v>
      </c>
      <c r="B2" s="9" t="s">
        <v>17</v>
      </c>
      <c r="C2" s="10" t="s">
        <v>18</v>
      </c>
      <c r="D2" s="10" t="s">
        <v>19</v>
      </c>
      <c r="E2" s="10" t="s">
        <v>20</v>
      </c>
      <c r="F2" s="11" t="s">
        <v>270</v>
      </c>
      <c r="G2" s="11" t="s">
        <v>271</v>
      </c>
      <c r="H2" s="11" t="s">
        <v>272</v>
      </c>
      <c r="I2" s="11" t="s">
        <v>273</v>
      </c>
      <c r="J2" s="22" t="s">
        <v>274</v>
      </c>
      <c r="K2" s="22" t="s">
        <v>275</v>
      </c>
      <c r="L2" s="23" t="s">
        <v>276</v>
      </c>
      <c r="M2" s="24" t="s">
        <v>277</v>
      </c>
      <c r="N2" s="25">
        <f>QUARTILE(F3:F200,4)</f>
        <v>0.0348</v>
      </c>
      <c r="O2" s="26">
        <f>QUARTILE(F3:F200,3)</f>
        <v>0.0114</v>
      </c>
      <c r="P2" s="26">
        <f>QUARTILE(F3:F200,2)</f>
        <v>0.005</v>
      </c>
      <c r="Q2" s="26">
        <f>QUARTILE(F3:F200,1)</f>
        <v>-0.003675</v>
      </c>
      <c r="R2" s="34">
        <f>QUARTILE(F3:F200,0)</f>
        <v>-0.0112</v>
      </c>
      <c r="S2" s="25">
        <f>QUARTILE(H3:H200,4)</f>
        <v>0.2237</v>
      </c>
      <c r="T2" s="26">
        <f>QUARTILE(H3:H200,3)</f>
        <v>0.10145</v>
      </c>
      <c r="U2" s="26">
        <f>QUARTILE(H3:H200,2)</f>
        <v>0.0776</v>
      </c>
      <c r="V2" s="26">
        <f>QUARTILE(H3:H200,1)</f>
        <v>0.041875</v>
      </c>
      <c r="W2" s="34">
        <f>QUARTILE(H3:H200,0)</f>
        <v>-0.0167</v>
      </c>
    </row>
    <row r="3" ht="43" customHeight="1" spans="1:13">
      <c r="A3" s="12" t="s">
        <v>278</v>
      </c>
      <c r="B3" s="13" t="s">
        <v>156</v>
      </c>
      <c r="C3" s="14" t="s">
        <v>279</v>
      </c>
      <c r="D3" s="14" t="s">
        <v>280</v>
      </c>
      <c r="E3" s="15" t="s">
        <v>281</v>
      </c>
      <c r="F3" s="16">
        <v>0.0348</v>
      </c>
      <c r="G3" s="16">
        <v>0.129</v>
      </c>
      <c r="H3" s="16">
        <v>0.2237</v>
      </c>
      <c r="I3" s="27">
        <v>0.2298</v>
      </c>
      <c r="J3" s="16">
        <v>0.0479</v>
      </c>
      <c r="K3" s="16">
        <v>0.1881</v>
      </c>
      <c r="L3" s="16">
        <v>0.1176</v>
      </c>
      <c r="M3" s="29">
        <v>1.7836</v>
      </c>
    </row>
    <row r="4" ht="39" customHeight="1" spans="1:13">
      <c r="A4" s="12" t="s">
        <v>282</v>
      </c>
      <c r="B4" s="13" t="s">
        <v>156</v>
      </c>
      <c r="C4" s="13" t="s">
        <v>283</v>
      </c>
      <c r="D4" s="13" t="s">
        <v>280</v>
      </c>
      <c r="E4" s="16" t="s">
        <v>284</v>
      </c>
      <c r="F4" s="16">
        <v>0.0248</v>
      </c>
      <c r="G4" s="16">
        <v>-0.0136</v>
      </c>
      <c r="H4" s="16">
        <v>0.0487</v>
      </c>
      <c r="I4" s="27">
        <v>0.068</v>
      </c>
      <c r="J4" s="16">
        <v>0.0688</v>
      </c>
      <c r="K4" s="16">
        <v>0.0688</v>
      </c>
      <c r="L4" s="16">
        <v>0.0629</v>
      </c>
      <c r="M4" s="29">
        <v>0.763</v>
      </c>
    </row>
    <row r="5" ht="15.6" customHeight="1" spans="1:13">
      <c r="A5" s="12" t="s">
        <v>285</v>
      </c>
      <c r="B5" s="13" t="s">
        <v>61</v>
      </c>
      <c r="C5" s="13" t="s">
        <v>286</v>
      </c>
      <c r="D5" s="13" t="s">
        <v>280</v>
      </c>
      <c r="E5" s="16" t="s">
        <v>287</v>
      </c>
      <c r="F5" s="16">
        <v>0.0211</v>
      </c>
      <c r="G5" s="16">
        <v>0.0397</v>
      </c>
      <c r="H5" s="16">
        <v>0.1034</v>
      </c>
      <c r="I5" s="27">
        <v>-0.0189</v>
      </c>
      <c r="J5" s="16">
        <v>0.007</v>
      </c>
      <c r="K5" s="16">
        <v>0.1181</v>
      </c>
      <c r="L5" s="16">
        <v>0.0872</v>
      </c>
      <c r="M5" s="29">
        <v>-0.446</v>
      </c>
    </row>
    <row r="6" ht="15.6" customHeight="1" spans="1:13">
      <c r="A6" s="12" t="s">
        <v>288</v>
      </c>
      <c r="B6" s="13" t="s">
        <v>217</v>
      </c>
      <c r="C6" s="13" t="s">
        <v>289</v>
      </c>
      <c r="D6" s="13" t="s">
        <v>280</v>
      </c>
      <c r="E6" s="16" t="s">
        <v>290</v>
      </c>
      <c r="F6" s="16">
        <v>0.0189</v>
      </c>
      <c r="G6" s="16">
        <v>-0.0056</v>
      </c>
      <c r="H6" s="16">
        <v>0.0956</v>
      </c>
      <c r="I6" s="27">
        <v>0.1905</v>
      </c>
      <c r="J6" s="16">
        <v>0.0739</v>
      </c>
      <c r="K6" s="16">
        <v>0.0959</v>
      </c>
      <c r="L6" s="16">
        <v>0.0944</v>
      </c>
      <c r="M6" s="29">
        <v>1.8065</v>
      </c>
    </row>
    <row r="7" ht="15.6" customHeight="1" spans="1:13">
      <c r="A7" s="12" t="s">
        <v>291</v>
      </c>
      <c r="B7" s="13" t="s">
        <v>217</v>
      </c>
      <c r="C7" s="13" t="s">
        <v>292</v>
      </c>
      <c r="D7" s="13" t="s">
        <v>280</v>
      </c>
      <c r="E7" s="16" t="s">
        <v>293</v>
      </c>
      <c r="F7" s="16">
        <v>0.0138</v>
      </c>
      <c r="G7" s="16">
        <v>-0.0056</v>
      </c>
      <c r="H7" s="16">
        <v>0.0176</v>
      </c>
      <c r="I7" s="27">
        <v>0.0783</v>
      </c>
      <c r="J7" s="16">
        <v>0.0258</v>
      </c>
      <c r="K7" s="16">
        <v>0.0312</v>
      </c>
      <c r="L7" s="16">
        <v>0.0416</v>
      </c>
      <c r="M7" s="29">
        <v>1.4023</v>
      </c>
    </row>
    <row r="8" ht="15.6" customHeight="1" spans="1:13">
      <c r="A8" s="12" t="s">
        <v>294</v>
      </c>
      <c r="B8" s="13" t="s">
        <v>61</v>
      </c>
      <c r="C8" s="13" t="s">
        <v>295</v>
      </c>
      <c r="D8" s="13" t="s">
        <v>280</v>
      </c>
      <c r="E8" s="16" t="s">
        <v>296</v>
      </c>
      <c r="F8" s="16">
        <v>0.0119</v>
      </c>
      <c r="G8" s="16">
        <v>0.0142</v>
      </c>
      <c r="H8" s="16">
        <v>0.0209</v>
      </c>
      <c r="I8" s="27">
        <v>0.023</v>
      </c>
      <c r="J8" s="16">
        <v>0.0076</v>
      </c>
      <c r="K8" s="16">
        <v>0.0589</v>
      </c>
      <c r="L8" s="16">
        <v>0.038</v>
      </c>
      <c r="M8" s="29">
        <v>0.0786</v>
      </c>
    </row>
    <row r="9" ht="15.6" customHeight="1" spans="1:13">
      <c r="A9" s="12" t="s">
        <v>297</v>
      </c>
      <c r="B9" s="13" t="s">
        <v>156</v>
      </c>
      <c r="C9" s="13" t="s">
        <v>298</v>
      </c>
      <c r="D9" s="13" t="s">
        <v>280</v>
      </c>
      <c r="E9" s="16" t="s">
        <v>299</v>
      </c>
      <c r="F9" s="16">
        <v>0.0099</v>
      </c>
      <c r="G9" s="16">
        <v>0.0088</v>
      </c>
      <c r="H9" s="16">
        <v>0.031</v>
      </c>
      <c r="I9" s="27">
        <v>0.0906</v>
      </c>
      <c r="J9" s="16">
        <v>0.0211</v>
      </c>
      <c r="K9" s="16">
        <v>0.0468</v>
      </c>
      <c r="L9" s="16">
        <v>0.0516</v>
      </c>
      <c r="M9" s="29">
        <v>1.3701</v>
      </c>
    </row>
    <row r="10" ht="15.6" customHeight="1" spans="1:13">
      <c r="A10" s="12" t="s">
        <v>147</v>
      </c>
      <c r="B10" s="13" t="s">
        <v>61</v>
      </c>
      <c r="C10" s="13" t="s">
        <v>300</v>
      </c>
      <c r="D10" s="13" t="s">
        <v>280</v>
      </c>
      <c r="E10" s="16" t="s">
        <v>301</v>
      </c>
      <c r="F10" s="16">
        <v>0.0085</v>
      </c>
      <c r="G10" s="16">
        <v>-0.0576</v>
      </c>
      <c r="H10" s="16">
        <v>0.0396</v>
      </c>
      <c r="I10" s="27">
        <v>0.0426</v>
      </c>
      <c r="J10" s="16">
        <v>0.0799</v>
      </c>
      <c r="K10" s="16">
        <v>0.1435</v>
      </c>
      <c r="L10" s="16">
        <v>0.1711</v>
      </c>
      <c r="M10" s="29">
        <v>0.1321</v>
      </c>
    </row>
    <row r="11" ht="15.6" customHeight="1" spans="1:13">
      <c r="A11" s="12" t="s">
        <v>302</v>
      </c>
      <c r="B11" s="13" t="s">
        <v>156</v>
      </c>
      <c r="C11" s="13" t="s">
        <v>303</v>
      </c>
      <c r="D11" s="13" t="s">
        <v>280</v>
      </c>
      <c r="E11" s="16" t="s">
        <v>96</v>
      </c>
      <c r="F11" s="16">
        <v>0.0069</v>
      </c>
      <c r="G11" s="16">
        <v>0.0642</v>
      </c>
      <c r="H11" s="16">
        <v>0.086</v>
      </c>
      <c r="I11" s="27">
        <v>0.1264</v>
      </c>
      <c r="J11" s="16">
        <v>0.0121</v>
      </c>
      <c r="K11" s="16">
        <v>0.0725</v>
      </c>
      <c r="L11" s="16">
        <v>0.062</v>
      </c>
      <c r="M11" s="29">
        <v>1.7145</v>
      </c>
    </row>
    <row r="12" ht="15.6" customHeight="1" spans="1:13">
      <c r="A12" s="12" t="s">
        <v>304</v>
      </c>
      <c r="B12" s="13" t="s">
        <v>54</v>
      </c>
      <c r="C12" s="13" t="s">
        <v>305</v>
      </c>
      <c r="D12" s="13" t="s">
        <v>280</v>
      </c>
      <c r="E12" s="16" t="s">
        <v>306</v>
      </c>
      <c r="F12" s="16">
        <v>0.0061</v>
      </c>
      <c r="G12" s="16">
        <v>0.0603</v>
      </c>
      <c r="H12" s="16">
        <v>0.1042</v>
      </c>
      <c r="I12" s="27">
        <v>0.0537</v>
      </c>
      <c r="J12" s="16">
        <v>0.0106</v>
      </c>
      <c r="K12" s="16">
        <v>0.0422</v>
      </c>
      <c r="L12" s="16">
        <v>0.0426</v>
      </c>
      <c r="M12" s="29">
        <v>0.7894</v>
      </c>
    </row>
    <row r="13" ht="15.6" customHeight="1" spans="1:13">
      <c r="A13" s="12" t="s">
        <v>307</v>
      </c>
      <c r="B13" s="13" t="s">
        <v>54</v>
      </c>
      <c r="C13" s="13" t="s">
        <v>308</v>
      </c>
      <c r="D13" s="13" t="s">
        <v>280</v>
      </c>
      <c r="E13" s="16" t="s">
        <v>309</v>
      </c>
      <c r="F13" s="16">
        <v>0.0059</v>
      </c>
      <c r="G13" s="16">
        <v>-0.0095</v>
      </c>
      <c r="H13" s="16">
        <v>-0.0167</v>
      </c>
      <c r="I13" s="27">
        <v>0.0543</v>
      </c>
      <c r="J13" s="16">
        <v>0.0359</v>
      </c>
      <c r="K13" s="16">
        <v>0.0359</v>
      </c>
      <c r="L13" s="16">
        <v>0.051</v>
      </c>
      <c r="M13" s="29">
        <v>0.6723</v>
      </c>
    </row>
    <row r="14" ht="15.6" customHeight="1" spans="1:13">
      <c r="A14" s="12" t="s">
        <v>310</v>
      </c>
      <c r="B14" s="13" t="s">
        <v>156</v>
      </c>
      <c r="C14" s="13" t="s">
        <v>311</v>
      </c>
      <c r="D14" s="13" t="s">
        <v>280</v>
      </c>
      <c r="E14" s="16" t="s">
        <v>312</v>
      </c>
      <c r="F14" s="16">
        <v>0.0041</v>
      </c>
      <c r="G14" s="16">
        <v>0.074</v>
      </c>
      <c r="H14" s="16">
        <v>0.1307</v>
      </c>
      <c r="I14" s="27">
        <v>0.1446</v>
      </c>
      <c r="J14" s="16">
        <v>0.005</v>
      </c>
      <c r="K14" s="16">
        <v>0.0347</v>
      </c>
      <c r="L14" s="16">
        <v>0.0485</v>
      </c>
      <c r="M14" s="29">
        <v>2.5701</v>
      </c>
    </row>
    <row r="15" ht="15.6" customHeight="1" spans="1:13">
      <c r="A15" s="12" t="s">
        <v>313</v>
      </c>
      <c r="B15" s="13" t="s">
        <v>156</v>
      </c>
      <c r="C15" s="13" t="s">
        <v>314</v>
      </c>
      <c r="D15" s="13" t="s">
        <v>280</v>
      </c>
      <c r="E15" s="16" t="s">
        <v>315</v>
      </c>
      <c r="F15" s="16">
        <v>0.0041</v>
      </c>
      <c r="G15" s="16">
        <v>0.0579</v>
      </c>
      <c r="H15" s="16">
        <v>0.084</v>
      </c>
      <c r="I15" s="27">
        <v>0.161</v>
      </c>
      <c r="J15" s="16">
        <v>0.0071</v>
      </c>
      <c r="K15" s="16">
        <v>0.0487</v>
      </c>
      <c r="L15" s="16">
        <v>0.0604</v>
      </c>
      <c r="M15" s="29">
        <v>2.3354</v>
      </c>
    </row>
    <row r="16" ht="15.6" customHeight="1" spans="1:13">
      <c r="A16" s="12" t="s">
        <v>316</v>
      </c>
      <c r="B16" s="13" t="s">
        <v>156</v>
      </c>
      <c r="C16" s="13" t="s">
        <v>317</v>
      </c>
      <c r="D16" s="13" t="s">
        <v>280</v>
      </c>
      <c r="E16" s="16" t="s">
        <v>318</v>
      </c>
      <c r="F16" s="16">
        <v>0.0015</v>
      </c>
      <c r="G16" s="16">
        <v>-0.0058</v>
      </c>
      <c r="H16" s="16">
        <v>0.0344</v>
      </c>
      <c r="I16" s="27">
        <v>0.0524</v>
      </c>
      <c r="J16" s="16">
        <v>0.0331</v>
      </c>
      <c r="K16" s="16">
        <v>0.089</v>
      </c>
      <c r="L16" s="16">
        <v>0.0649</v>
      </c>
      <c r="M16" s="29">
        <v>0.4994</v>
      </c>
    </row>
    <row r="17" ht="15.6" customHeight="1" spans="1:13">
      <c r="A17" s="12" t="s">
        <v>319</v>
      </c>
      <c r="B17" s="13" t="s">
        <v>156</v>
      </c>
      <c r="C17" s="13" t="s">
        <v>320</v>
      </c>
      <c r="D17" s="13" t="s">
        <v>280</v>
      </c>
      <c r="E17" s="16" t="s">
        <v>321</v>
      </c>
      <c r="F17" s="16">
        <v>0.0003</v>
      </c>
      <c r="G17" s="16">
        <v>0.0961</v>
      </c>
      <c r="H17" s="16">
        <v>0.1239</v>
      </c>
      <c r="I17" s="27">
        <v>0.1396</v>
      </c>
      <c r="J17" s="16">
        <v>0.0129</v>
      </c>
      <c r="K17" s="16">
        <v>0.0386</v>
      </c>
      <c r="L17" s="16">
        <v>0.0587</v>
      </c>
      <c r="M17" s="29">
        <v>2.0367</v>
      </c>
    </row>
    <row r="18" ht="15.6" customHeight="1" spans="1:13">
      <c r="A18" s="12" t="s">
        <v>322</v>
      </c>
      <c r="B18" s="13" t="s">
        <v>54</v>
      </c>
      <c r="C18" s="13" t="s">
        <v>323</v>
      </c>
      <c r="D18" s="13" t="s">
        <v>280</v>
      </c>
      <c r="E18" s="16" t="s">
        <v>324</v>
      </c>
      <c r="F18" s="16">
        <v>-0.0012</v>
      </c>
      <c r="G18" s="16">
        <v>0.0414</v>
      </c>
      <c r="H18" s="16">
        <v>0.0725</v>
      </c>
      <c r="I18" s="27">
        <v>0.0779</v>
      </c>
      <c r="J18" s="16">
        <v>0.0035</v>
      </c>
      <c r="K18" s="16">
        <v>0.0655</v>
      </c>
      <c r="L18" s="16">
        <v>0.0341</v>
      </c>
      <c r="M18" s="29">
        <v>1.6968</v>
      </c>
    </row>
    <row r="19" ht="15.6" customHeight="1" spans="1:13">
      <c r="A19" s="12" t="s">
        <v>325</v>
      </c>
      <c r="B19" s="13" t="s">
        <v>54</v>
      </c>
      <c r="C19" s="13" t="s">
        <v>326</v>
      </c>
      <c r="D19" s="13" t="s">
        <v>280</v>
      </c>
      <c r="E19" s="16" t="s">
        <v>327</v>
      </c>
      <c r="F19" s="16">
        <v>-0.0045</v>
      </c>
      <c r="G19" s="16">
        <v>0.0317</v>
      </c>
      <c r="H19" s="16">
        <v>0.055</v>
      </c>
      <c r="I19" s="27">
        <v>0.1011</v>
      </c>
      <c r="J19" s="16">
        <v>0.0045</v>
      </c>
      <c r="K19" s="16">
        <v>0.0068</v>
      </c>
      <c r="L19" s="16">
        <v>0.2082</v>
      </c>
      <c r="M19" s="29">
        <v>0.3893</v>
      </c>
    </row>
    <row r="20" ht="15.6" customHeight="1" spans="1:13">
      <c r="A20" s="12" t="s">
        <v>328</v>
      </c>
      <c r="B20" s="13" t="s">
        <v>217</v>
      </c>
      <c r="C20" s="13" t="s">
        <v>329</v>
      </c>
      <c r="D20" s="13" t="s">
        <v>280</v>
      </c>
      <c r="E20" s="16" t="s">
        <v>330</v>
      </c>
      <c r="F20" s="16">
        <v>-0.0074</v>
      </c>
      <c r="G20" s="16">
        <v>0.0454</v>
      </c>
      <c r="H20" s="16">
        <v>0.0809</v>
      </c>
      <c r="I20" s="27">
        <v>0.0893</v>
      </c>
      <c r="J20" s="16">
        <v>0.0168</v>
      </c>
      <c r="K20" s="16">
        <v>0.0588</v>
      </c>
      <c r="L20" s="16">
        <v>0.0664</v>
      </c>
      <c r="M20" s="29">
        <v>1.0438</v>
      </c>
    </row>
    <row r="21" ht="15.6" customHeight="1" spans="1:13">
      <c r="A21" s="12" t="s">
        <v>331</v>
      </c>
      <c r="B21" s="13" t="s">
        <v>156</v>
      </c>
      <c r="C21" s="13" t="s">
        <v>332</v>
      </c>
      <c r="D21" s="13" t="s">
        <v>280</v>
      </c>
      <c r="E21" s="16" t="s">
        <v>333</v>
      </c>
      <c r="F21" s="16">
        <v>-0.0085</v>
      </c>
      <c r="G21" s="16">
        <v>0.0252</v>
      </c>
      <c r="H21" s="16">
        <v>0.0543</v>
      </c>
      <c r="I21" s="27">
        <v>0.0796</v>
      </c>
      <c r="J21" s="16">
        <v>0.0183</v>
      </c>
      <c r="K21" s="16">
        <v>0.03</v>
      </c>
      <c r="L21" s="16">
        <v>0.0535</v>
      </c>
      <c r="M21" s="29">
        <v>1.1142</v>
      </c>
    </row>
    <row r="22" ht="15.6" customHeight="1" spans="1:13">
      <c r="A22" s="12" t="s">
        <v>334</v>
      </c>
      <c r="B22" s="13" t="s">
        <v>61</v>
      </c>
      <c r="C22" s="13" t="s">
        <v>335</v>
      </c>
      <c r="D22" s="13" t="s">
        <v>280</v>
      </c>
      <c r="E22" s="16" t="s">
        <v>336</v>
      </c>
      <c r="F22" s="16">
        <v>-0.0092</v>
      </c>
      <c r="G22" s="16">
        <v>0.0539</v>
      </c>
      <c r="H22" s="16">
        <v>0.0745</v>
      </c>
      <c r="I22" s="27">
        <v>0.0864</v>
      </c>
      <c r="J22" s="16">
        <v>0.04</v>
      </c>
      <c r="K22" s="16">
        <v>0.0574</v>
      </c>
      <c r="L22" s="16">
        <v>0.0778</v>
      </c>
      <c r="M22" s="29">
        <v>0.8528</v>
      </c>
    </row>
    <row r="23" ht="15.6" customHeight="1" spans="1:13">
      <c r="A23" s="12" t="s">
        <v>337</v>
      </c>
      <c r="B23" s="13" t="s">
        <v>156</v>
      </c>
      <c r="C23" s="13" t="s">
        <v>338</v>
      </c>
      <c r="D23" s="13" t="s">
        <v>280</v>
      </c>
      <c r="E23" s="16" t="s">
        <v>339</v>
      </c>
      <c r="F23" s="16">
        <v>-0.0093</v>
      </c>
      <c r="G23" s="16">
        <v>0.0301</v>
      </c>
      <c r="H23" s="16">
        <v>0.0807</v>
      </c>
      <c r="I23" s="27">
        <v>0.0807</v>
      </c>
      <c r="J23" s="16">
        <v>0.0115</v>
      </c>
      <c r="K23" s="16">
        <v>0.0294</v>
      </c>
      <c r="L23" s="16">
        <v>0.0393</v>
      </c>
      <c r="M23" s="29">
        <v>1.5456</v>
      </c>
    </row>
    <row r="24" ht="15.6" customHeight="1" spans="1:13">
      <c r="A24" s="12" t="s">
        <v>340</v>
      </c>
      <c r="B24" s="13" t="s">
        <v>54</v>
      </c>
      <c r="C24" s="13" t="s">
        <v>341</v>
      </c>
      <c r="D24" s="13" t="s">
        <v>280</v>
      </c>
      <c r="E24" s="16" t="s">
        <v>342</v>
      </c>
      <c r="F24" s="16">
        <v>-0.0112</v>
      </c>
      <c r="G24" s="16">
        <v>0.1319</v>
      </c>
      <c r="H24" s="16">
        <v>0.221</v>
      </c>
      <c r="I24" s="27">
        <v>0.1529</v>
      </c>
      <c r="J24" s="16">
        <v>0.0519</v>
      </c>
      <c r="K24" s="16">
        <v>0.0519</v>
      </c>
      <c r="L24" s="16">
        <v>0.0945</v>
      </c>
      <c r="M24" s="29">
        <v>1.4065</v>
      </c>
    </row>
    <row r="25" ht="15.6" customHeight="1" spans="1:13">
      <c r="A25" s="12"/>
      <c r="B25" s="13"/>
      <c r="C25" s="13"/>
      <c r="D25" s="13"/>
      <c r="E25" s="16"/>
      <c r="F25" s="16"/>
      <c r="G25" s="16"/>
      <c r="H25" s="16"/>
      <c r="I25" s="29"/>
      <c r="J25" s="16"/>
      <c r="K25" s="16"/>
      <c r="L25" s="16"/>
      <c r="M25" s="29"/>
    </row>
    <row r="26" ht="15.6" customHeight="1" spans="1:13">
      <c r="A26" s="12"/>
      <c r="B26" s="13"/>
      <c r="C26" s="13"/>
      <c r="D26" s="13"/>
      <c r="E26" s="16"/>
      <c r="F26" s="16"/>
      <c r="G26" s="16"/>
      <c r="H26" s="16"/>
      <c r="I26" s="29"/>
      <c r="J26" s="16"/>
      <c r="K26" s="16"/>
      <c r="L26" s="16"/>
      <c r="M26" s="29"/>
    </row>
    <row r="27" ht="15.6" customHeight="1" spans="1:13">
      <c r="A27" s="12"/>
      <c r="B27" s="13"/>
      <c r="C27" s="13"/>
      <c r="D27" s="13"/>
      <c r="E27" s="16"/>
      <c r="F27" s="16"/>
      <c r="G27" s="16"/>
      <c r="H27" s="16"/>
      <c r="I27" s="29"/>
      <c r="J27" s="16"/>
      <c r="K27" s="16"/>
      <c r="L27" s="16"/>
      <c r="M27" s="29"/>
    </row>
    <row r="28" ht="15.6" customHeight="1" spans="1:13">
      <c r="A28" s="12"/>
      <c r="B28" s="13"/>
      <c r="C28" s="13"/>
      <c r="D28" s="13"/>
      <c r="E28" s="16"/>
      <c r="F28" s="16"/>
      <c r="G28" s="16"/>
      <c r="H28" s="16"/>
      <c r="I28" s="29"/>
      <c r="J28" s="16"/>
      <c r="K28" s="16"/>
      <c r="L28" s="16"/>
      <c r="M28" s="29"/>
    </row>
    <row r="29" ht="15.6" customHeight="1" spans="1:13">
      <c r="A29" s="12"/>
      <c r="B29" s="13"/>
      <c r="C29" s="13"/>
      <c r="D29" s="13"/>
      <c r="E29" s="16"/>
      <c r="F29" s="16"/>
      <c r="G29" s="16"/>
      <c r="H29" s="16"/>
      <c r="I29" s="29"/>
      <c r="J29" s="16"/>
      <c r="K29" s="16"/>
      <c r="L29" s="16"/>
      <c r="M29" s="29"/>
    </row>
    <row r="30" ht="15.6" customHeight="1" spans="1:13">
      <c r="A30" s="12"/>
      <c r="B30" s="13"/>
      <c r="C30" s="13"/>
      <c r="D30" s="13"/>
      <c r="E30" s="16"/>
      <c r="F30" s="16"/>
      <c r="G30" s="16"/>
      <c r="H30" s="16"/>
      <c r="I30" s="29"/>
      <c r="J30" s="16"/>
      <c r="K30" s="16"/>
      <c r="L30" s="16"/>
      <c r="M30" s="29"/>
    </row>
    <row r="31" ht="15.6" customHeight="1" spans="1:13">
      <c r="A31" s="12"/>
      <c r="B31" s="13"/>
      <c r="C31" s="13"/>
      <c r="D31" s="13"/>
      <c r="E31" s="16"/>
      <c r="F31" s="16"/>
      <c r="G31" s="16"/>
      <c r="H31" s="16"/>
      <c r="I31" s="29"/>
      <c r="J31" s="16"/>
      <c r="K31" s="16"/>
      <c r="L31" s="16"/>
      <c r="M31" s="29"/>
    </row>
    <row r="32" ht="15.6" customHeight="1" spans="1:13">
      <c r="A32" s="12"/>
      <c r="B32" s="13"/>
      <c r="C32" s="13"/>
      <c r="D32" s="13"/>
      <c r="E32" s="16"/>
      <c r="F32" s="16"/>
      <c r="G32" s="16"/>
      <c r="H32" s="16"/>
      <c r="I32" s="29"/>
      <c r="J32" s="16"/>
      <c r="K32" s="16"/>
      <c r="L32" s="16"/>
      <c r="M32" s="29"/>
    </row>
    <row r="33" ht="15.6" customHeight="1" spans="1:13">
      <c r="A33" s="12"/>
      <c r="B33" s="13"/>
      <c r="C33" s="13"/>
      <c r="D33" s="13"/>
      <c r="E33" s="16"/>
      <c r="F33" s="16"/>
      <c r="G33" s="16"/>
      <c r="H33" s="16"/>
      <c r="I33" s="29"/>
      <c r="J33" s="16"/>
      <c r="K33" s="16"/>
      <c r="L33" s="16"/>
      <c r="M33" s="29"/>
    </row>
    <row r="34" ht="15.6" customHeight="1" spans="1:13">
      <c r="A34" s="12"/>
      <c r="B34" s="13"/>
      <c r="C34" s="13"/>
      <c r="D34" s="13"/>
      <c r="E34" s="16"/>
      <c r="F34" s="16"/>
      <c r="G34" s="16"/>
      <c r="H34" s="16"/>
      <c r="I34" s="29"/>
      <c r="J34" s="16"/>
      <c r="K34" s="16"/>
      <c r="L34" s="16"/>
      <c r="M34" s="29"/>
    </row>
    <row r="35" ht="15.6" customHeight="1" spans="1:13">
      <c r="A35" s="12"/>
      <c r="B35" s="13"/>
      <c r="C35" s="13"/>
      <c r="D35" s="13"/>
      <c r="E35" s="16"/>
      <c r="F35" s="16"/>
      <c r="G35" s="16"/>
      <c r="H35" s="16"/>
      <c r="I35" s="29"/>
      <c r="J35" s="16"/>
      <c r="K35" s="16"/>
      <c r="L35" s="16"/>
      <c r="M35" s="29"/>
    </row>
    <row r="36" ht="15.6" customHeight="1" spans="1:13">
      <c r="A36" s="12"/>
      <c r="B36" s="13"/>
      <c r="C36" s="13"/>
      <c r="D36" s="13"/>
      <c r="E36" s="16"/>
      <c r="F36" s="16"/>
      <c r="G36" s="16"/>
      <c r="H36" s="16"/>
      <c r="I36" s="29"/>
      <c r="J36" s="16"/>
      <c r="K36" s="16"/>
      <c r="L36" s="16"/>
      <c r="M36" s="29"/>
    </row>
    <row r="37" ht="15.6" customHeight="1" spans="1:13">
      <c r="A37" s="12"/>
      <c r="B37" s="13"/>
      <c r="C37" s="13"/>
      <c r="D37" s="13"/>
      <c r="E37" s="16"/>
      <c r="F37" s="16"/>
      <c r="G37" s="16"/>
      <c r="H37" s="16"/>
      <c r="I37" s="29"/>
      <c r="J37" s="16"/>
      <c r="K37" s="16"/>
      <c r="L37" s="16"/>
      <c r="M37" s="29"/>
    </row>
    <row r="38" ht="15.6" customHeight="1" spans="1:13">
      <c r="A38" s="12"/>
      <c r="B38" s="13"/>
      <c r="C38" s="13"/>
      <c r="D38" s="13"/>
      <c r="E38" s="16"/>
      <c r="F38" s="16"/>
      <c r="G38" s="16"/>
      <c r="H38" s="16"/>
      <c r="I38" s="29"/>
      <c r="J38" s="16"/>
      <c r="K38" s="16"/>
      <c r="L38" s="16"/>
      <c r="M38" s="29"/>
    </row>
    <row r="39" ht="15.6" customHeight="1" spans="1:13">
      <c r="A39" s="12"/>
      <c r="B39" s="13"/>
      <c r="C39" s="13"/>
      <c r="D39" s="13"/>
      <c r="E39" s="16"/>
      <c r="F39" s="16"/>
      <c r="G39" s="16"/>
      <c r="H39" s="16"/>
      <c r="I39" s="29"/>
      <c r="J39" s="16"/>
      <c r="K39" s="16"/>
      <c r="L39" s="16"/>
      <c r="M39" s="29"/>
    </row>
    <row r="40" ht="15.6" customHeight="1" spans="1:13">
      <c r="A40" s="12"/>
      <c r="B40" s="13"/>
      <c r="C40" s="13"/>
      <c r="D40" s="13"/>
      <c r="E40" s="16"/>
      <c r="F40" s="16"/>
      <c r="G40" s="16"/>
      <c r="H40" s="16"/>
      <c r="I40" s="29"/>
      <c r="J40" s="16"/>
      <c r="K40" s="16"/>
      <c r="L40" s="16"/>
      <c r="M40" s="29"/>
    </row>
    <row r="41" ht="15.6" customHeight="1" spans="1:13">
      <c r="A41" s="12"/>
      <c r="B41" s="13"/>
      <c r="C41" s="13"/>
      <c r="D41" s="13"/>
      <c r="E41" s="16"/>
      <c r="F41" s="16"/>
      <c r="G41" s="16"/>
      <c r="H41" s="16"/>
      <c r="I41" s="29"/>
      <c r="J41" s="16"/>
      <c r="K41" s="16"/>
      <c r="L41" s="16"/>
      <c r="M41" s="29"/>
    </row>
    <row r="42" ht="15.6" customHeight="1" spans="1:13">
      <c r="A42" s="12"/>
      <c r="B42" s="13"/>
      <c r="C42" s="13"/>
      <c r="D42" s="13"/>
      <c r="E42" s="16"/>
      <c r="F42" s="16"/>
      <c r="G42" s="16"/>
      <c r="H42" s="16"/>
      <c r="I42" s="29"/>
      <c r="J42" s="16"/>
      <c r="K42" s="16"/>
      <c r="L42" s="16"/>
      <c r="M42" s="29"/>
    </row>
    <row r="43" ht="15.6" customHeight="1" spans="1:13">
      <c r="A43" s="12"/>
      <c r="B43" s="13"/>
      <c r="C43" s="13"/>
      <c r="D43" s="13"/>
      <c r="E43" s="16"/>
      <c r="F43" s="16"/>
      <c r="G43" s="16"/>
      <c r="H43" s="16"/>
      <c r="I43" s="29"/>
      <c r="J43" s="16"/>
      <c r="K43" s="16"/>
      <c r="L43" s="16"/>
      <c r="M43" s="29"/>
    </row>
    <row r="44" ht="15.6" customHeight="1" spans="1:13">
      <c r="A44" s="12"/>
      <c r="B44" s="13"/>
      <c r="C44" s="13"/>
      <c r="D44" s="13"/>
      <c r="E44" s="16"/>
      <c r="F44" s="16"/>
      <c r="G44" s="16"/>
      <c r="H44" s="16"/>
      <c r="I44" s="29"/>
      <c r="J44" s="16"/>
      <c r="K44" s="16"/>
      <c r="L44" s="16"/>
      <c r="M44" s="29"/>
    </row>
    <row r="45" ht="15.6" customHeight="1" spans="1:13">
      <c r="A45" s="12"/>
      <c r="B45" s="13"/>
      <c r="C45" s="13"/>
      <c r="D45" s="13"/>
      <c r="E45" s="16"/>
      <c r="F45" s="16"/>
      <c r="G45" s="16"/>
      <c r="H45" s="16"/>
      <c r="I45" s="29"/>
      <c r="J45" s="16"/>
      <c r="K45" s="16"/>
      <c r="L45" s="16"/>
      <c r="M45" s="29"/>
    </row>
    <row r="46" ht="15.6" customHeight="1" spans="1:13">
      <c r="A46" s="12"/>
      <c r="B46" s="13"/>
      <c r="C46" s="13"/>
      <c r="D46" s="13"/>
      <c r="E46" s="16"/>
      <c r="F46" s="16"/>
      <c r="G46" s="16"/>
      <c r="H46" s="16"/>
      <c r="I46" s="29"/>
      <c r="J46" s="16"/>
      <c r="K46" s="16"/>
      <c r="L46" s="16"/>
      <c r="M46" s="29"/>
    </row>
    <row r="47" ht="15.6" customHeight="1" spans="1:13">
      <c r="A47" s="12"/>
      <c r="B47" s="13"/>
      <c r="C47" s="13"/>
      <c r="D47" s="13"/>
      <c r="E47" s="16"/>
      <c r="F47" s="16"/>
      <c r="G47" s="16"/>
      <c r="H47" s="16"/>
      <c r="I47" s="29"/>
      <c r="J47" s="16"/>
      <c r="K47" s="16"/>
      <c r="L47" s="16"/>
      <c r="M47" s="29"/>
    </row>
    <row r="48" ht="15.6" customHeight="1" spans="1:13">
      <c r="A48" s="12"/>
      <c r="B48" s="13"/>
      <c r="C48" s="13"/>
      <c r="D48" s="13"/>
      <c r="E48" s="16"/>
      <c r="F48" s="16"/>
      <c r="G48" s="16"/>
      <c r="H48" s="16"/>
      <c r="I48" s="29"/>
      <c r="J48" s="16"/>
      <c r="K48" s="16"/>
      <c r="L48" s="16"/>
      <c r="M48" s="29"/>
    </row>
    <row r="49" ht="15.6" customHeight="1" spans="1:13">
      <c r="A49" s="12"/>
      <c r="B49" s="13"/>
      <c r="C49" s="13"/>
      <c r="D49" s="13"/>
      <c r="E49" s="16"/>
      <c r="F49" s="16"/>
      <c r="G49" s="16"/>
      <c r="H49" s="16"/>
      <c r="I49" s="29"/>
      <c r="J49" s="16"/>
      <c r="K49" s="16"/>
      <c r="L49" s="16"/>
      <c r="M49" s="29"/>
    </row>
    <row r="50" ht="15.6" customHeight="1" spans="1:13">
      <c r="A50" s="12"/>
      <c r="B50" s="13"/>
      <c r="C50" s="13"/>
      <c r="D50" s="13"/>
      <c r="E50" s="16"/>
      <c r="F50" s="16"/>
      <c r="G50" s="16"/>
      <c r="H50" s="16"/>
      <c r="I50" s="29"/>
      <c r="J50" s="16"/>
      <c r="K50" s="16"/>
      <c r="L50" s="16"/>
      <c r="M50" s="29"/>
    </row>
    <row r="51" ht="15.6" customHeight="1" spans="1:13">
      <c r="A51" s="12"/>
      <c r="B51" s="13"/>
      <c r="C51" s="13"/>
      <c r="D51" s="13"/>
      <c r="E51" s="16"/>
      <c r="F51" s="16"/>
      <c r="G51" s="16"/>
      <c r="H51" s="16"/>
      <c r="I51" s="29"/>
      <c r="J51" s="16"/>
      <c r="K51" s="16"/>
      <c r="L51" s="16"/>
      <c r="M51" s="29"/>
    </row>
    <row r="52" ht="15.6" customHeight="1" spans="1:13">
      <c r="A52" s="12"/>
      <c r="B52" s="13"/>
      <c r="C52" s="13"/>
      <c r="D52" s="13"/>
      <c r="E52" s="16"/>
      <c r="F52" s="16"/>
      <c r="G52" s="16"/>
      <c r="H52" s="16"/>
      <c r="I52" s="29"/>
      <c r="J52" s="16"/>
      <c r="K52" s="16"/>
      <c r="L52" s="16"/>
      <c r="M52" s="29"/>
    </row>
    <row r="53" ht="15.6" customHeight="1" spans="1:13">
      <c r="A53" s="12"/>
      <c r="B53" s="13"/>
      <c r="C53" s="13"/>
      <c r="D53" s="13"/>
      <c r="E53" s="16"/>
      <c r="F53" s="16"/>
      <c r="G53" s="16"/>
      <c r="H53" s="16"/>
      <c r="I53" s="29"/>
      <c r="J53" s="16"/>
      <c r="K53" s="16"/>
      <c r="L53" s="16"/>
      <c r="M53" s="29"/>
    </row>
    <row r="54" ht="15.6" customHeight="1" spans="1:13">
      <c r="A54" s="12"/>
      <c r="B54" s="13"/>
      <c r="C54" s="13"/>
      <c r="D54" s="13"/>
      <c r="E54" s="16"/>
      <c r="F54" s="16"/>
      <c r="G54" s="16"/>
      <c r="H54" s="16"/>
      <c r="I54" s="29"/>
      <c r="J54" s="16"/>
      <c r="K54" s="16"/>
      <c r="L54" s="16"/>
      <c r="M54" s="29"/>
    </row>
    <row r="55" ht="15.6" customHeight="1" spans="1:13">
      <c r="A55" s="12"/>
      <c r="B55" s="13"/>
      <c r="C55" s="13"/>
      <c r="D55" s="13"/>
      <c r="E55" s="16"/>
      <c r="F55" s="16"/>
      <c r="G55" s="16"/>
      <c r="H55" s="16"/>
      <c r="I55" s="29"/>
      <c r="J55" s="16"/>
      <c r="K55" s="16"/>
      <c r="L55" s="16"/>
      <c r="M55" s="29"/>
    </row>
    <row r="56" ht="15.6" customHeight="1" spans="1:13">
      <c r="A56" s="12"/>
      <c r="B56" s="13"/>
      <c r="C56" s="13"/>
      <c r="D56" s="13"/>
      <c r="E56" s="16"/>
      <c r="F56" s="16"/>
      <c r="G56" s="16"/>
      <c r="H56" s="16"/>
      <c r="I56" s="29"/>
      <c r="J56" s="16"/>
      <c r="K56" s="16"/>
      <c r="L56" s="16"/>
      <c r="M56" s="29"/>
    </row>
    <row r="57" ht="15.6" customHeight="1" spans="1:13">
      <c r="A57" s="12"/>
      <c r="B57" s="13"/>
      <c r="C57" s="13"/>
      <c r="D57" s="13"/>
      <c r="E57" s="16"/>
      <c r="F57" s="16"/>
      <c r="G57" s="16"/>
      <c r="H57" s="16"/>
      <c r="I57" s="29"/>
      <c r="J57" s="16"/>
      <c r="K57" s="16"/>
      <c r="L57" s="16"/>
      <c r="M57" s="29"/>
    </row>
    <row r="58" ht="15.6" customHeight="1" spans="1:13">
      <c r="A58" s="12"/>
      <c r="B58" s="13"/>
      <c r="C58" s="13"/>
      <c r="D58" s="13"/>
      <c r="E58" s="16"/>
      <c r="F58" s="16"/>
      <c r="G58" s="16"/>
      <c r="H58" s="16"/>
      <c r="I58" s="29"/>
      <c r="J58" s="16"/>
      <c r="K58" s="16"/>
      <c r="L58" s="16"/>
      <c r="M58" s="29"/>
    </row>
    <row r="59" ht="15.6" customHeight="1" spans="1:13">
      <c r="A59" s="12"/>
      <c r="B59" s="13"/>
      <c r="C59" s="13"/>
      <c r="D59" s="13"/>
      <c r="E59" s="16"/>
      <c r="F59" s="16"/>
      <c r="G59" s="16"/>
      <c r="H59" s="16"/>
      <c r="I59" s="29"/>
      <c r="J59" s="16"/>
      <c r="K59" s="16"/>
      <c r="L59" s="16"/>
      <c r="M59" s="29"/>
    </row>
    <row r="60" ht="15.6" customHeight="1" spans="1:13">
      <c r="A60" s="12"/>
      <c r="B60" s="13"/>
      <c r="C60" s="13"/>
      <c r="D60" s="13"/>
      <c r="E60" s="16"/>
      <c r="F60" s="16"/>
      <c r="G60" s="16"/>
      <c r="H60" s="16"/>
      <c r="I60" s="29"/>
      <c r="J60" s="16"/>
      <c r="K60" s="16"/>
      <c r="L60" s="16"/>
      <c r="M60" s="29"/>
    </row>
    <row r="61" ht="15.6" customHeight="1" spans="1:13">
      <c r="A61" s="12"/>
      <c r="B61" s="13"/>
      <c r="C61" s="13"/>
      <c r="D61" s="13"/>
      <c r="E61" s="16"/>
      <c r="F61" s="16"/>
      <c r="G61" s="16"/>
      <c r="H61" s="16"/>
      <c r="I61" s="29"/>
      <c r="J61" s="16"/>
      <c r="K61" s="16"/>
      <c r="L61" s="16"/>
      <c r="M61" s="29"/>
    </row>
    <row r="62" ht="15.6" customHeight="1" spans="1:13">
      <c r="A62" s="12"/>
      <c r="B62" s="13"/>
      <c r="C62" s="13"/>
      <c r="D62" s="13"/>
      <c r="E62" s="16"/>
      <c r="F62" s="16"/>
      <c r="G62" s="16"/>
      <c r="H62" s="16"/>
      <c r="I62" s="29"/>
      <c r="J62" s="16"/>
      <c r="K62" s="16"/>
      <c r="L62" s="16"/>
      <c r="M62" s="29"/>
    </row>
    <row r="63" ht="15.6" customHeight="1" spans="1:13">
      <c r="A63" s="12"/>
      <c r="B63" s="13"/>
      <c r="C63" s="13"/>
      <c r="D63" s="13"/>
      <c r="E63" s="16"/>
      <c r="F63" s="16"/>
      <c r="G63" s="16"/>
      <c r="H63" s="16"/>
      <c r="I63" s="29"/>
      <c r="J63" s="16"/>
      <c r="K63" s="16"/>
      <c r="L63" s="16"/>
      <c r="M63" s="29"/>
    </row>
    <row r="64" ht="15.6" customHeight="1" spans="1:13">
      <c r="A64" s="12"/>
      <c r="B64" s="13"/>
      <c r="C64" s="13"/>
      <c r="D64" s="13"/>
      <c r="E64" s="16"/>
      <c r="F64" s="16"/>
      <c r="G64" s="16"/>
      <c r="H64" s="16"/>
      <c r="I64" s="29"/>
      <c r="J64" s="16"/>
      <c r="K64" s="16"/>
      <c r="L64" s="16"/>
      <c r="M64" s="29"/>
    </row>
    <row r="65" ht="15.6" customHeight="1" spans="1:13">
      <c r="A65" s="12"/>
      <c r="B65" s="13"/>
      <c r="C65" s="13"/>
      <c r="D65" s="13"/>
      <c r="E65" s="16"/>
      <c r="F65" s="16"/>
      <c r="G65" s="16"/>
      <c r="H65" s="16"/>
      <c r="I65" s="29"/>
      <c r="J65" s="16"/>
      <c r="K65" s="16"/>
      <c r="L65" s="16"/>
      <c r="M65" s="29"/>
    </row>
    <row r="66" ht="15.6" customHeight="1" spans="1:13">
      <c r="A66" s="12"/>
      <c r="B66" s="13"/>
      <c r="C66" s="13"/>
      <c r="D66" s="13"/>
      <c r="E66" s="16"/>
      <c r="F66" s="16"/>
      <c r="G66" s="16"/>
      <c r="H66" s="16"/>
      <c r="I66" s="29"/>
      <c r="J66" s="16"/>
      <c r="K66" s="16"/>
      <c r="L66" s="16"/>
      <c r="M66" s="29"/>
    </row>
    <row r="67" ht="15.6" customHeight="1" spans="1:13">
      <c r="A67" s="12"/>
      <c r="B67" s="13"/>
      <c r="C67" s="13"/>
      <c r="D67" s="13"/>
      <c r="E67" s="16"/>
      <c r="F67" s="16"/>
      <c r="G67" s="16"/>
      <c r="H67" s="16"/>
      <c r="I67" s="29"/>
      <c r="J67" s="16"/>
      <c r="K67" s="16"/>
      <c r="L67" s="16"/>
      <c r="M67" s="29"/>
    </row>
    <row r="68" ht="15.6" customHeight="1" spans="1:13">
      <c r="A68" s="12"/>
      <c r="B68" s="13"/>
      <c r="C68" s="13"/>
      <c r="D68" s="13"/>
      <c r="E68" s="16"/>
      <c r="F68" s="16"/>
      <c r="G68" s="16"/>
      <c r="H68" s="16"/>
      <c r="I68" s="29"/>
      <c r="J68" s="16"/>
      <c r="K68" s="16"/>
      <c r="L68" s="16"/>
      <c r="M68" s="29"/>
    </row>
    <row r="69" ht="15.6" customHeight="1" spans="1:13">
      <c r="A69" s="12"/>
      <c r="B69" s="13"/>
      <c r="C69" s="13"/>
      <c r="D69" s="13"/>
      <c r="E69" s="16"/>
      <c r="F69" s="16"/>
      <c r="G69" s="16"/>
      <c r="H69" s="16"/>
      <c r="I69" s="29"/>
      <c r="J69" s="16"/>
      <c r="K69" s="16"/>
      <c r="L69" s="16"/>
      <c r="M69" s="29"/>
    </row>
    <row r="70" ht="15.6" customHeight="1" spans="1:13">
      <c r="A70" s="12"/>
      <c r="B70" s="13"/>
      <c r="C70" s="13"/>
      <c r="D70" s="13"/>
      <c r="E70" s="16"/>
      <c r="F70" s="16"/>
      <c r="G70" s="16"/>
      <c r="H70" s="16"/>
      <c r="I70" s="29"/>
      <c r="J70" s="16"/>
      <c r="K70" s="16"/>
      <c r="L70" s="16"/>
      <c r="M70" s="29"/>
    </row>
    <row r="71" ht="15.6" customHeight="1" spans="1:13">
      <c r="A71" s="12"/>
      <c r="B71" s="13"/>
      <c r="C71" s="13"/>
      <c r="D71" s="13"/>
      <c r="E71" s="16"/>
      <c r="F71" s="16"/>
      <c r="G71" s="16"/>
      <c r="H71" s="16"/>
      <c r="I71" s="29"/>
      <c r="J71" s="16"/>
      <c r="K71" s="16"/>
      <c r="L71" s="16"/>
      <c r="M71" s="29"/>
    </row>
    <row r="72" ht="15.6" customHeight="1" spans="1:13">
      <c r="A72" s="12"/>
      <c r="B72" s="13"/>
      <c r="C72" s="13"/>
      <c r="D72" s="13"/>
      <c r="E72" s="16"/>
      <c r="F72" s="16"/>
      <c r="G72" s="16"/>
      <c r="H72" s="16"/>
      <c r="I72" s="29"/>
      <c r="J72" s="16"/>
      <c r="K72" s="16"/>
      <c r="L72" s="16"/>
      <c r="M72" s="29"/>
    </row>
    <row r="73" ht="15.6" customHeight="1" spans="1:13">
      <c r="A73" s="12"/>
      <c r="B73" s="13"/>
      <c r="C73" s="13"/>
      <c r="D73" s="13"/>
      <c r="E73" s="16"/>
      <c r="F73" s="16"/>
      <c r="G73" s="16"/>
      <c r="H73" s="16"/>
      <c r="I73" s="29"/>
      <c r="J73" s="16"/>
      <c r="K73" s="16"/>
      <c r="L73" s="16"/>
      <c r="M73" s="29"/>
    </row>
    <row r="74" ht="15.6" customHeight="1" spans="1:13">
      <c r="A74" s="12"/>
      <c r="B74" s="13"/>
      <c r="C74" s="13"/>
      <c r="D74" s="13"/>
      <c r="E74" s="16"/>
      <c r="F74" s="16"/>
      <c r="G74" s="16"/>
      <c r="H74" s="16"/>
      <c r="I74" s="29"/>
      <c r="J74" s="16"/>
      <c r="K74" s="16"/>
      <c r="L74" s="16"/>
      <c r="M74" s="29"/>
    </row>
    <row r="75" ht="15.6" customHeight="1" spans="1:13">
      <c r="A75" s="12"/>
      <c r="B75" s="13"/>
      <c r="C75" s="13"/>
      <c r="D75" s="13"/>
      <c r="E75" s="16"/>
      <c r="F75" s="16"/>
      <c r="G75" s="16"/>
      <c r="H75" s="16"/>
      <c r="I75" s="29"/>
      <c r="J75" s="16"/>
      <c r="K75" s="16"/>
      <c r="L75" s="16"/>
      <c r="M75" s="29"/>
    </row>
    <row r="76" ht="15.6" customHeight="1" spans="1:13">
      <c r="A76" s="12"/>
      <c r="B76" s="13"/>
      <c r="C76" s="13"/>
      <c r="D76" s="13"/>
      <c r="E76" s="16"/>
      <c r="F76" s="16"/>
      <c r="G76" s="16"/>
      <c r="H76" s="16"/>
      <c r="I76" s="29"/>
      <c r="J76" s="16"/>
      <c r="K76" s="16"/>
      <c r="L76" s="16"/>
      <c r="M76" s="29"/>
    </row>
    <row r="77" ht="15.6" customHeight="1" spans="1:13">
      <c r="A77" s="12"/>
      <c r="B77" s="13"/>
      <c r="C77" s="13"/>
      <c r="D77" s="13"/>
      <c r="E77" s="16"/>
      <c r="F77" s="16"/>
      <c r="G77" s="16"/>
      <c r="H77" s="16"/>
      <c r="I77" s="29"/>
      <c r="J77" s="16"/>
      <c r="K77" s="16"/>
      <c r="L77" s="16"/>
      <c r="M77" s="29"/>
    </row>
    <row r="78" ht="15.6" customHeight="1" spans="1:13">
      <c r="A78" s="12"/>
      <c r="B78" s="13"/>
      <c r="C78" s="13"/>
      <c r="D78" s="13"/>
      <c r="E78" s="16"/>
      <c r="F78" s="16"/>
      <c r="G78" s="16"/>
      <c r="H78" s="16"/>
      <c r="I78" s="29"/>
      <c r="J78" s="16"/>
      <c r="K78" s="16"/>
      <c r="L78" s="16"/>
      <c r="M78" s="29"/>
    </row>
    <row r="79" ht="15.6" customHeight="1" spans="1:13">
      <c r="A79" s="12"/>
      <c r="B79" s="13"/>
      <c r="C79" s="13"/>
      <c r="D79" s="13"/>
      <c r="E79" s="16"/>
      <c r="F79" s="16"/>
      <c r="G79" s="16"/>
      <c r="H79" s="16"/>
      <c r="I79" s="29"/>
      <c r="J79" s="16"/>
      <c r="K79" s="16"/>
      <c r="L79" s="16"/>
      <c r="M79" s="29"/>
    </row>
    <row r="80" ht="15.6" customHeight="1" spans="1:13">
      <c r="A80" s="12"/>
      <c r="B80" s="13"/>
      <c r="C80" s="13"/>
      <c r="D80" s="13"/>
      <c r="E80" s="16"/>
      <c r="F80" s="16"/>
      <c r="G80" s="16"/>
      <c r="H80" s="16"/>
      <c r="I80" s="29"/>
      <c r="J80" s="16"/>
      <c r="K80" s="16"/>
      <c r="L80" s="16"/>
      <c r="M80" s="29"/>
    </row>
    <row r="81" ht="15.6" customHeight="1" spans="1:13">
      <c r="A81" s="12"/>
      <c r="B81" s="13"/>
      <c r="C81" s="13"/>
      <c r="D81" s="13"/>
      <c r="E81" s="16"/>
      <c r="F81" s="16"/>
      <c r="G81" s="16"/>
      <c r="H81" s="16"/>
      <c r="I81" s="29"/>
      <c r="J81" s="16"/>
      <c r="K81" s="16"/>
      <c r="L81" s="16"/>
      <c r="M81" s="29"/>
    </row>
    <row r="82" ht="15.6" customHeight="1" spans="1:13">
      <c r="A82" s="12"/>
      <c r="B82" s="13"/>
      <c r="C82" s="13"/>
      <c r="D82" s="13"/>
      <c r="E82" s="16"/>
      <c r="F82" s="16"/>
      <c r="G82" s="16"/>
      <c r="H82" s="16"/>
      <c r="I82" s="29"/>
      <c r="J82" s="16"/>
      <c r="K82" s="16"/>
      <c r="L82" s="16"/>
      <c r="M82" s="29"/>
    </row>
    <row r="83" ht="15.6" customHeight="1" spans="1:13">
      <c r="A83" s="12"/>
      <c r="B83" s="13"/>
      <c r="C83" s="13"/>
      <c r="D83" s="13"/>
      <c r="E83" s="16"/>
      <c r="F83" s="16"/>
      <c r="G83" s="16"/>
      <c r="H83" s="16"/>
      <c r="I83" s="29"/>
      <c r="J83" s="16"/>
      <c r="K83" s="16"/>
      <c r="L83" s="16"/>
      <c r="M83" s="29"/>
    </row>
    <row r="84" ht="15.6" customHeight="1" spans="1:13">
      <c r="A84" s="12"/>
      <c r="B84" s="13"/>
      <c r="C84" s="13"/>
      <c r="D84" s="13"/>
      <c r="E84" s="16"/>
      <c r="F84" s="16"/>
      <c r="G84" s="16"/>
      <c r="H84" s="16"/>
      <c r="I84" s="29"/>
      <c r="J84" s="16"/>
      <c r="K84" s="16"/>
      <c r="L84" s="16"/>
      <c r="M84" s="29"/>
    </row>
    <row r="85" ht="15.6" customHeight="1" spans="1:13">
      <c r="A85" s="12"/>
      <c r="B85" s="13"/>
      <c r="C85" s="13"/>
      <c r="D85" s="13"/>
      <c r="E85" s="16"/>
      <c r="F85" s="16"/>
      <c r="G85" s="16"/>
      <c r="H85" s="16"/>
      <c r="I85" s="29"/>
      <c r="J85" s="16"/>
      <c r="K85" s="16"/>
      <c r="L85" s="16"/>
      <c r="M85" s="29"/>
    </row>
    <row r="86" ht="15.6" customHeight="1" spans="1:13">
      <c r="A86" s="12"/>
      <c r="B86" s="13"/>
      <c r="C86" s="13"/>
      <c r="D86" s="13"/>
      <c r="E86" s="16"/>
      <c r="F86" s="16"/>
      <c r="G86" s="16"/>
      <c r="H86" s="16"/>
      <c r="I86" s="29"/>
      <c r="J86" s="16"/>
      <c r="K86" s="16"/>
      <c r="L86" s="16"/>
      <c r="M86" s="29"/>
    </row>
    <row r="87" ht="15.6" customHeight="1" spans="1:13">
      <c r="A87" s="12"/>
      <c r="B87" s="13"/>
      <c r="C87" s="13"/>
      <c r="D87" s="13"/>
      <c r="E87" s="16"/>
      <c r="F87" s="16"/>
      <c r="G87" s="16"/>
      <c r="H87" s="16"/>
      <c r="I87" s="29"/>
      <c r="J87" s="16"/>
      <c r="K87" s="16"/>
      <c r="L87" s="16"/>
      <c r="M87" s="29"/>
    </row>
    <row r="88" ht="15.6" customHeight="1" spans="1:13">
      <c r="A88" s="12"/>
      <c r="B88" s="13"/>
      <c r="C88" s="13"/>
      <c r="D88" s="13"/>
      <c r="E88" s="16"/>
      <c r="F88" s="16"/>
      <c r="G88" s="16"/>
      <c r="H88" s="16"/>
      <c r="I88" s="29"/>
      <c r="J88" s="16"/>
      <c r="K88" s="16"/>
      <c r="L88" s="16"/>
      <c r="M88" s="29"/>
    </row>
    <row r="89" ht="15.6" customHeight="1" spans="1:13">
      <c r="A89" s="12"/>
      <c r="B89" s="13"/>
      <c r="C89" s="13"/>
      <c r="D89" s="13"/>
      <c r="E89" s="16"/>
      <c r="F89" s="16"/>
      <c r="G89" s="16"/>
      <c r="H89" s="16"/>
      <c r="I89" s="29"/>
      <c r="J89" s="16"/>
      <c r="K89" s="16"/>
      <c r="L89" s="16"/>
      <c r="M89" s="29"/>
    </row>
    <row r="90" ht="15.6" customHeight="1" spans="1:13">
      <c r="A90" s="12"/>
      <c r="B90" s="13"/>
      <c r="C90" s="13"/>
      <c r="D90" s="13"/>
      <c r="E90" s="16"/>
      <c r="F90" s="16"/>
      <c r="G90" s="16"/>
      <c r="H90" s="16"/>
      <c r="I90" s="29"/>
      <c r="J90" s="16"/>
      <c r="K90" s="16"/>
      <c r="L90" s="16"/>
      <c r="M90" s="29"/>
    </row>
    <row r="91" ht="15.6" customHeight="1" spans="1:13">
      <c r="A91" s="12"/>
      <c r="B91" s="13"/>
      <c r="C91" s="13"/>
      <c r="D91" s="13"/>
      <c r="E91" s="16"/>
      <c r="F91" s="16"/>
      <c r="G91" s="16"/>
      <c r="H91" s="16"/>
      <c r="I91" s="29"/>
      <c r="J91" s="16"/>
      <c r="K91" s="16"/>
      <c r="L91" s="16"/>
      <c r="M91" s="29"/>
    </row>
    <row r="92" ht="15.6" customHeight="1" spans="1:13">
      <c r="A92" s="12"/>
      <c r="B92" s="13"/>
      <c r="C92" s="13"/>
      <c r="D92" s="13"/>
      <c r="E92" s="16"/>
      <c r="F92" s="16"/>
      <c r="G92" s="16"/>
      <c r="H92" s="16"/>
      <c r="I92" s="29"/>
      <c r="J92" s="16"/>
      <c r="K92" s="16"/>
      <c r="L92" s="16"/>
      <c r="M92" s="29"/>
    </row>
    <row r="93" ht="15.6" customHeight="1" spans="1:13">
      <c r="A93" s="12"/>
      <c r="B93" s="13"/>
      <c r="C93" s="13"/>
      <c r="D93" s="13"/>
      <c r="E93" s="16"/>
      <c r="F93" s="16"/>
      <c r="G93" s="16"/>
      <c r="H93" s="16"/>
      <c r="I93" s="29"/>
      <c r="J93" s="16"/>
      <c r="K93" s="16"/>
      <c r="L93" s="16"/>
      <c r="M93" s="29"/>
    </row>
    <row r="94" ht="15.6" customHeight="1" spans="1:13">
      <c r="A94" s="12"/>
      <c r="B94" s="13"/>
      <c r="C94" s="13"/>
      <c r="D94" s="13"/>
      <c r="E94" s="16"/>
      <c r="F94" s="16"/>
      <c r="G94" s="16"/>
      <c r="H94" s="16"/>
      <c r="I94" s="29"/>
      <c r="J94" s="16"/>
      <c r="K94" s="16"/>
      <c r="L94" s="16"/>
      <c r="M94" s="29"/>
    </row>
    <row r="95" ht="15.6" customHeight="1" spans="1:13">
      <c r="A95" s="12"/>
      <c r="B95" s="13"/>
      <c r="C95" s="13"/>
      <c r="D95" s="13"/>
      <c r="E95" s="16"/>
      <c r="F95" s="16"/>
      <c r="G95" s="16"/>
      <c r="H95" s="16"/>
      <c r="I95" s="29"/>
      <c r="J95" s="16"/>
      <c r="K95" s="16"/>
      <c r="L95" s="16"/>
      <c r="M95" s="29"/>
    </row>
    <row r="96" ht="15.6" customHeight="1" spans="1:13">
      <c r="A96" s="12"/>
      <c r="B96" s="13"/>
      <c r="C96" s="13"/>
      <c r="D96" s="13"/>
      <c r="E96" s="16"/>
      <c r="F96" s="16"/>
      <c r="G96" s="16"/>
      <c r="H96" s="16"/>
      <c r="I96" s="29"/>
      <c r="J96" s="16"/>
      <c r="K96" s="16"/>
      <c r="L96" s="16"/>
      <c r="M96" s="29"/>
    </row>
    <row r="97" ht="15.6" customHeight="1" spans="1:13">
      <c r="A97" s="12"/>
      <c r="B97" s="13"/>
      <c r="C97" s="13"/>
      <c r="D97" s="13"/>
      <c r="E97" s="16"/>
      <c r="F97" s="16"/>
      <c r="G97" s="16"/>
      <c r="H97" s="16"/>
      <c r="I97" s="29"/>
      <c r="J97" s="16"/>
      <c r="K97" s="16"/>
      <c r="L97" s="16"/>
      <c r="M97" s="29"/>
    </row>
    <row r="98" ht="15.6" customHeight="1" spans="1:13">
      <c r="A98" s="12"/>
      <c r="B98" s="13"/>
      <c r="C98" s="13"/>
      <c r="D98" s="13"/>
      <c r="E98" s="16"/>
      <c r="F98" s="16"/>
      <c r="G98" s="16"/>
      <c r="H98" s="16"/>
      <c r="I98" s="29"/>
      <c r="J98" s="16"/>
      <c r="K98" s="16"/>
      <c r="L98" s="16"/>
      <c r="M98" s="29"/>
    </row>
    <row r="99" ht="15.6" customHeight="1" spans="1:13">
      <c r="A99" s="12"/>
      <c r="B99" s="13"/>
      <c r="C99" s="13"/>
      <c r="D99" s="13"/>
      <c r="E99" s="16"/>
      <c r="F99" s="16"/>
      <c r="G99" s="16"/>
      <c r="H99" s="16"/>
      <c r="I99" s="29"/>
      <c r="J99" s="16"/>
      <c r="K99" s="16"/>
      <c r="L99" s="16"/>
      <c r="M99" s="29"/>
    </row>
    <row r="100" ht="15.6" customHeight="1" spans="1:13">
      <c r="A100" s="12"/>
      <c r="B100" s="13"/>
      <c r="C100" s="13"/>
      <c r="D100" s="13"/>
      <c r="E100" s="16"/>
      <c r="F100" s="16"/>
      <c r="G100" s="16"/>
      <c r="H100" s="16"/>
      <c r="I100" s="29"/>
      <c r="J100" s="16"/>
      <c r="K100" s="16"/>
      <c r="L100" s="16"/>
      <c r="M100" s="29"/>
    </row>
    <row r="101" ht="15.6" customHeight="1" spans="5:8">
      <c r="E101" s="16"/>
      <c r="F101" s="16"/>
      <c r="G101" s="16"/>
      <c r="H101" s="16"/>
    </row>
  </sheetData>
  <mergeCells count="4">
    <mergeCell ref="A1:B1"/>
    <mergeCell ref="C1:E1"/>
    <mergeCell ref="F1:I1"/>
    <mergeCell ref="J1:K1"/>
  </mergeCells>
  <conditionalFormatting sqref="E101:H101">
    <cfRule type="dataBar" priority="2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{8a18479a-6e43-455e-973a-9ea87c944967}</x14:id>
        </ext>
      </extLst>
    </cfRule>
    <cfRule type="dataBar" priority="23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{eaad8c0d-fc4d-4a43-ae0e-f90a7459ad4c}</x14:id>
        </ext>
      </extLst>
    </cfRule>
    <cfRule type="dataBar" priority="16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{11b7a441-d929-4897-b16c-9d5130748f69}</x14:id>
        </ext>
      </extLst>
    </cfRule>
    <cfRule type="dataBar" priority="16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{f40619c3-0461-4a62-806b-699d96c4598a}</x14:id>
        </ext>
      </extLst>
    </cfRule>
    <cfRule type="dataBar" priority="15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{00526bbd-2382-4661-8574-ebc77029968f}</x14:id>
        </ext>
      </extLst>
    </cfRule>
    <cfRule type="dataBar" priority="15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{bab9f88b-7f22-4ab7-92f5-f2db48093cf4}</x14:id>
        </ext>
      </extLst>
    </cfRule>
    <cfRule type="dataBar" priority="14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{f86c5fe5-eb1a-454b-a57d-d6ca09cbd3dc}</x14:id>
        </ext>
      </extLst>
    </cfRule>
    <cfRule type="expression" dxfId="0" priority="170">
      <formula>MOD(ROW(),2)=0</formula>
    </cfRule>
    <cfRule type="dataBar" priority="15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{05c2f256-415c-4416-a571-f4dc8287ed25}</x14:id>
        </ext>
      </extLst>
    </cfRule>
    <cfRule type="dataBar" priority="14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{2fa95440-0221-4f9b-a06f-e3821daf42c3}</x14:id>
        </ext>
      </extLst>
    </cfRule>
  </conditionalFormatting>
  <conditionalFormatting sqref="A3:E100 J3:M100">
    <cfRule type="expression" dxfId="0" priority="2">
      <formula>MOD(ROW(),2)=0</formula>
    </cfRule>
  </conditionalFormatting>
  <conditionalFormatting sqref="F3:I100">
    <cfRule type="expression" dxfId="0" priority="1">
      <formula>MOD(ROW(),2)=0</formula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18479a-6e43-455e-973a-9ea87c944967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eaad8c0d-fc4d-4a43-ae0e-f90a7459ad4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11b7a441-d929-4897-b16c-9d5130748f69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f40619c3-0461-4a62-806b-699d96c4598a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00526bbd-2382-4661-8574-ebc77029968f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bab9f88b-7f22-4ab7-92f5-f2db48093cf4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f86c5fe5-eb1a-454b-a57d-d6ca09cbd3d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05c2f256-415c-4416-a571-f4dc8287ed25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2fa95440-0221-4f9b-a06f-e3821daf42c3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E101:H101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W100"/>
  <sheetViews>
    <sheetView tabSelected="1" workbookViewId="0">
      <pane ySplit="2" topLeftCell="A3" activePane="bottomLeft" state="frozen"/>
      <selection/>
      <selection pane="bottomLeft" activeCell="P12" sqref="P12"/>
    </sheetView>
  </sheetViews>
  <sheetFormatPr defaultColWidth="9" defaultRowHeight="14.4"/>
  <cols>
    <col min="1" max="1" width="15.4444444444444" customWidth="1"/>
    <col min="2" max="2" width="12.6666666666667" customWidth="1"/>
    <col min="3" max="3" width="29.4444444444444" customWidth="1"/>
  </cols>
  <sheetData>
    <row r="1" ht="31.2" customHeight="1" spans="1:23">
      <c r="A1" s="1" t="s">
        <v>0</v>
      </c>
      <c r="B1" s="2"/>
      <c r="C1" s="3" t="s">
        <v>1</v>
      </c>
      <c r="D1" s="4"/>
      <c r="E1" s="5"/>
      <c r="F1" s="6" t="s">
        <v>2</v>
      </c>
      <c r="G1" s="7"/>
      <c r="H1" s="7"/>
      <c r="I1" s="2"/>
      <c r="J1" s="17" t="s">
        <v>3</v>
      </c>
      <c r="K1" s="2"/>
      <c r="L1" s="18" t="s">
        <v>4</v>
      </c>
      <c r="M1" s="19" t="s">
        <v>5</v>
      </c>
      <c r="N1" s="20" t="s">
        <v>6</v>
      </c>
      <c r="O1" s="21" t="s">
        <v>7</v>
      </c>
      <c r="P1" s="21" t="s">
        <v>8</v>
      </c>
      <c r="Q1" s="21" t="s">
        <v>9</v>
      </c>
      <c r="R1" s="30" t="s">
        <v>10</v>
      </c>
      <c r="S1" s="31" t="s">
        <v>11</v>
      </c>
      <c r="T1" s="32" t="s">
        <v>12</v>
      </c>
      <c r="U1" s="32" t="s">
        <v>13</v>
      </c>
      <c r="V1" s="32" t="s">
        <v>14</v>
      </c>
      <c r="W1" s="33" t="s">
        <v>15</v>
      </c>
    </row>
    <row r="2" ht="47.55" customHeight="1" spans="1:23">
      <c r="A2" s="8" t="s">
        <v>16</v>
      </c>
      <c r="B2" s="9" t="s">
        <v>17</v>
      </c>
      <c r="C2" s="10" t="s">
        <v>18</v>
      </c>
      <c r="D2" s="10" t="s">
        <v>19</v>
      </c>
      <c r="E2" s="10" t="s">
        <v>20</v>
      </c>
      <c r="F2" s="11" t="s">
        <v>270</v>
      </c>
      <c r="G2" s="11" t="s">
        <v>271</v>
      </c>
      <c r="H2" s="11" t="s">
        <v>272</v>
      </c>
      <c r="I2" s="11" t="s">
        <v>273</v>
      </c>
      <c r="J2" s="22" t="s">
        <v>274</v>
      </c>
      <c r="K2" s="22" t="s">
        <v>275</v>
      </c>
      <c r="L2" s="23" t="s">
        <v>276</v>
      </c>
      <c r="M2" s="24" t="s">
        <v>277</v>
      </c>
      <c r="N2" s="25">
        <f>QUARTILE(F3:F200,4)</f>
        <v>0.0408</v>
      </c>
      <c r="O2" s="26">
        <f>QUARTILE(F3:F200,3)</f>
        <v>0.00955</v>
      </c>
      <c r="P2" s="26">
        <f>QUARTILE(F3:F200,2)</f>
        <v>-0.00025</v>
      </c>
      <c r="Q2" s="26">
        <f>QUARTILE(F3:F200,1)</f>
        <v>-0.012275</v>
      </c>
      <c r="R2" s="34">
        <f>QUARTILE(F3:F200,0)</f>
        <v>-0.0653</v>
      </c>
      <c r="S2" s="25">
        <f>QUARTILE(H3:H200,4)</f>
        <v>0.1916</v>
      </c>
      <c r="T2" s="26">
        <f>QUARTILE(H3:H200,3)</f>
        <v>0.0596</v>
      </c>
      <c r="U2" s="26">
        <f>QUARTILE(H3:H200,2)</f>
        <v>0.0325</v>
      </c>
      <c r="V2" s="26">
        <f>QUARTILE(H3:H200,1)</f>
        <v>-0.0026</v>
      </c>
      <c r="W2" s="34">
        <f>QUARTILE(H3:H200,0)</f>
        <v>-0.1633</v>
      </c>
    </row>
    <row r="3" ht="15.6" customHeight="1" spans="1:13">
      <c r="A3" s="12" t="s">
        <v>291</v>
      </c>
      <c r="B3" s="13" t="s">
        <v>217</v>
      </c>
      <c r="C3" s="14" t="s">
        <v>343</v>
      </c>
      <c r="D3" s="14" t="s">
        <v>344</v>
      </c>
      <c r="E3" s="15" t="s">
        <v>345</v>
      </c>
      <c r="F3" s="16">
        <v>0.0408</v>
      </c>
      <c r="G3" s="16">
        <v>-0.1622</v>
      </c>
      <c r="H3" s="16">
        <v>-0.0137</v>
      </c>
      <c r="I3" s="27">
        <v>0.0604</v>
      </c>
      <c r="J3" s="16">
        <v>0.2049</v>
      </c>
      <c r="K3" s="16">
        <v>0.2049</v>
      </c>
      <c r="L3" s="16">
        <v>0.1637</v>
      </c>
      <c r="M3" s="29">
        <v>0.2467</v>
      </c>
    </row>
    <row r="4" ht="15.6" customHeight="1" spans="1:13">
      <c r="A4" s="12" t="s">
        <v>346</v>
      </c>
      <c r="B4" s="13" t="s">
        <v>156</v>
      </c>
      <c r="C4" s="13" t="s">
        <v>347</v>
      </c>
      <c r="D4" s="13" t="s">
        <v>344</v>
      </c>
      <c r="E4" s="16" t="s">
        <v>348</v>
      </c>
      <c r="F4" s="16">
        <v>0.028</v>
      </c>
      <c r="G4" s="16">
        <v>-0.0078</v>
      </c>
      <c r="H4" s="16">
        <v>0.0182</v>
      </c>
      <c r="I4" s="27">
        <v>0.0325</v>
      </c>
      <c r="J4" s="16">
        <v>0.0359</v>
      </c>
      <c r="K4" s="16">
        <v>0.0509</v>
      </c>
      <c r="L4" s="16">
        <v>0.066</v>
      </c>
      <c r="M4" s="29">
        <v>0.1898</v>
      </c>
    </row>
    <row r="5" ht="15.6" customHeight="1" spans="1:13">
      <c r="A5" s="12" t="s">
        <v>349</v>
      </c>
      <c r="B5" s="13" t="s">
        <v>156</v>
      </c>
      <c r="C5" s="13" t="s">
        <v>350</v>
      </c>
      <c r="D5" s="13" t="s">
        <v>344</v>
      </c>
      <c r="E5" s="16" t="s">
        <v>351</v>
      </c>
      <c r="F5" s="16">
        <v>0.0273</v>
      </c>
      <c r="G5" s="16">
        <v>0.0224</v>
      </c>
      <c r="H5" s="16">
        <v>0.0304</v>
      </c>
      <c r="I5" s="27">
        <v>0.0792</v>
      </c>
      <c r="J5" s="16">
        <v>0.0469</v>
      </c>
      <c r="K5" s="16">
        <v>0.0827</v>
      </c>
      <c r="L5" s="16">
        <v>0.0602</v>
      </c>
      <c r="M5" s="29">
        <v>0.9829</v>
      </c>
    </row>
    <row r="6" ht="15.6" customHeight="1" spans="1:13">
      <c r="A6" s="12" t="s">
        <v>37</v>
      </c>
      <c r="B6" s="13" t="s">
        <v>38</v>
      </c>
      <c r="C6" s="13" t="s">
        <v>352</v>
      </c>
      <c r="D6" s="13" t="s">
        <v>344</v>
      </c>
      <c r="E6" s="16" t="s">
        <v>353</v>
      </c>
      <c r="F6" s="16">
        <v>0.0268</v>
      </c>
      <c r="G6" s="16">
        <v>-0.0848</v>
      </c>
      <c r="H6" s="16">
        <v>-0.1261</v>
      </c>
      <c r="I6" s="27">
        <v>0.0604</v>
      </c>
      <c r="J6" s="16">
        <v>0.1782</v>
      </c>
      <c r="K6" s="16">
        <v>0.2834</v>
      </c>
      <c r="L6" s="16">
        <v>0.1419</v>
      </c>
      <c r="M6" s="29">
        <v>0.2844</v>
      </c>
    </row>
    <row r="7" ht="15.6" customHeight="1" spans="1:13">
      <c r="A7" s="12" t="s">
        <v>354</v>
      </c>
      <c r="B7" s="13" t="s">
        <v>54</v>
      </c>
      <c r="C7" s="13" t="s">
        <v>355</v>
      </c>
      <c r="D7" s="13" t="s">
        <v>344</v>
      </c>
      <c r="E7" s="16" t="s">
        <v>356</v>
      </c>
      <c r="F7" s="16">
        <v>0.025</v>
      </c>
      <c r="G7" s="16">
        <v>-0.0067</v>
      </c>
      <c r="H7" s="16">
        <v>0.0048</v>
      </c>
      <c r="I7" s="27">
        <v>0.1481</v>
      </c>
      <c r="J7" s="16">
        <v>0.0373</v>
      </c>
      <c r="K7" s="16">
        <v>0.0373</v>
      </c>
      <c r="L7" s="16">
        <v>0.0415</v>
      </c>
      <c r="M7" s="29">
        <v>3.0897</v>
      </c>
    </row>
    <row r="8" ht="15.6" customHeight="1" spans="1:13">
      <c r="A8" s="12" t="s">
        <v>278</v>
      </c>
      <c r="B8" s="13" t="s">
        <v>156</v>
      </c>
      <c r="C8" s="13" t="s">
        <v>357</v>
      </c>
      <c r="D8" s="13" t="s">
        <v>344</v>
      </c>
      <c r="E8" s="16" t="s">
        <v>358</v>
      </c>
      <c r="F8" s="16">
        <v>0.0242</v>
      </c>
      <c r="G8" s="16">
        <v>0.0573</v>
      </c>
      <c r="H8" s="16">
        <v>0.0858</v>
      </c>
      <c r="I8" s="27">
        <v>0.2048</v>
      </c>
      <c r="J8" s="16">
        <v>0.0611</v>
      </c>
      <c r="K8" s="16">
        <v>0.1643</v>
      </c>
      <c r="L8" s="16">
        <v>0.0918</v>
      </c>
      <c r="M8" s="29">
        <v>2.0123</v>
      </c>
    </row>
    <row r="9" ht="15.6" customHeight="1" spans="1:13">
      <c r="A9" s="12" t="s">
        <v>359</v>
      </c>
      <c r="B9" s="13" t="s">
        <v>61</v>
      </c>
      <c r="C9" s="13" t="s">
        <v>360</v>
      </c>
      <c r="D9" s="13" t="s">
        <v>344</v>
      </c>
      <c r="E9" s="16" t="s">
        <v>361</v>
      </c>
      <c r="F9" s="16">
        <v>0.0239</v>
      </c>
      <c r="G9" s="16">
        <v>-0.027</v>
      </c>
      <c r="H9" s="16">
        <v>-0.0382</v>
      </c>
      <c r="I9" s="27">
        <v>0.1357</v>
      </c>
      <c r="J9" s="16">
        <v>0.069</v>
      </c>
      <c r="K9" s="16">
        <v>0.069</v>
      </c>
      <c r="L9" s="16">
        <v>0.0781</v>
      </c>
      <c r="M9" s="29">
        <v>1.4805</v>
      </c>
    </row>
    <row r="10" ht="15.6" customHeight="1" spans="1:13">
      <c r="A10" s="12" t="s">
        <v>362</v>
      </c>
      <c r="B10" s="13" t="s">
        <v>38</v>
      </c>
      <c r="C10" s="13" t="s">
        <v>363</v>
      </c>
      <c r="D10" s="13" t="s">
        <v>344</v>
      </c>
      <c r="E10" s="16" t="s">
        <v>364</v>
      </c>
      <c r="F10" s="16">
        <v>0.0215</v>
      </c>
      <c r="G10" s="16">
        <v>-0.1368</v>
      </c>
      <c r="H10" s="16">
        <v>-0.1572</v>
      </c>
      <c r="I10" s="27">
        <v>0.0564</v>
      </c>
      <c r="J10" s="16">
        <v>0.1941</v>
      </c>
      <c r="K10" s="16">
        <v>0.2434</v>
      </c>
      <c r="L10" s="16">
        <v>0.094</v>
      </c>
      <c r="M10" s="29">
        <v>0.3873</v>
      </c>
    </row>
    <row r="11" ht="15.6" customHeight="1" spans="1:13">
      <c r="A11" s="12" t="s">
        <v>365</v>
      </c>
      <c r="B11" s="13" t="s">
        <v>156</v>
      </c>
      <c r="C11" s="13" t="s">
        <v>366</v>
      </c>
      <c r="D11" s="13" t="s">
        <v>344</v>
      </c>
      <c r="E11" s="16" t="s">
        <v>367</v>
      </c>
      <c r="F11" s="16">
        <v>0.0208</v>
      </c>
      <c r="G11" s="16">
        <v>-0.1893</v>
      </c>
      <c r="H11" s="16">
        <v>-0.1633</v>
      </c>
      <c r="I11" s="27">
        <v>-0.1417</v>
      </c>
      <c r="J11" s="16">
        <v>0.2058</v>
      </c>
      <c r="K11" s="16">
        <v>0.3195</v>
      </c>
      <c r="L11" s="16">
        <v>0.1191</v>
      </c>
      <c r="M11" s="29">
        <v>-1.358</v>
      </c>
    </row>
    <row r="12" ht="15.6" customHeight="1" spans="1:13">
      <c r="A12" s="12" t="s">
        <v>282</v>
      </c>
      <c r="B12" s="13" t="s">
        <v>156</v>
      </c>
      <c r="C12" s="13" t="s">
        <v>368</v>
      </c>
      <c r="D12" s="13" t="s">
        <v>344</v>
      </c>
      <c r="E12" s="16" t="s">
        <v>284</v>
      </c>
      <c r="F12" s="16">
        <v>0.0189</v>
      </c>
      <c r="G12" s="16">
        <v>-0.0179</v>
      </c>
      <c r="H12" s="16">
        <v>0.0373</v>
      </c>
      <c r="I12" s="27">
        <v>0.0653</v>
      </c>
      <c r="J12" s="16">
        <v>0.0675</v>
      </c>
      <c r="K12" s="16">
        <v>0.0675</v>
      </c>
      <c r="L12" s="16">
        <v>0.0618</v>
      </c>
      <c r="M12" s="29">
        <v>0.732</v>
      </c>
    </row>
    <row r="13" ht="15.6" customHeight="1" spans="1:13">
      <c r="A13" s="12" t="s">
        <v>369</v>
      </c>
      <c r="B13" s="13" t="s">
        <v>217</v>
      </c>
      <c r="C13" s="13" t="s">
        <v>370</v>
      </c>
      <c r="D13" s="13" t="s">
        <v>344</v>
      </c>
      <c r="E13" s="16" t="s">
        <v>371</v>
      </c>
      <c r="F13" s="16">
        <v>0.0185</v>
      </c>
      <c r="G13" s="16">
        <v>-0.0277</v>
      </c>
      <c r="H13" s="16">
        <v>-0.0393</v>
      </c>
      <c r="I13" s="27">
        <v>-0.0595</v>
      </c>
      <c r="J13" s="16">
        <v>0.081</v>
      </c>
      <c r="K13" s="16">
        <v>0.081</v>
      </c>
      <c r="L13" s="16">
        <v>0.1012</v>
      </c>
      <c r="M13" s="29">
        <v>-0.7858</v>
      </c>
    </row>
    <row r="14" ht="15.6" customHeight="1" spans="1:13">
      <c r="A14" s="12" t="s">
        <v>304</v>
      </c>
      <c r="B14" s="13" t="s">
        <v>54</v>
      </c>
      <c r="C14" s="13" t="s">
        <v>372</v>
      </c>
      <c r="D14" s="13" t="s">
        <v>344</v>
      </c>
      <c r="E14" s="16" t="s">
        <v>373</v>
      </c>
      <c r="F14" s="16">
        <v>0.0175</v>
      </c>
      <c r="G14" s="16">
        <v>-0.0068</v>
      </c>
      <c r="H14" s="16">
        <v>0.0004</v>
      </c>
      <c r="I14" s="27">
        <v>-0.0166</v>
      </c>
      <c r="J14" s="16">
        <v>0.0252</v>
      </c>
      <c r="K14" s="16">
        <v>0.0714</v>
      </c>
      <c r="L14" s="16">
        <v>0.0514</v>
      </c>
      <c r="M14" s="29">
        <v>-0.7111</v>
      </c>
    </row>
    <row r="15" ht="15.6" customHeight="1" spans="1:13">
      <c r="A15" s="12" t="s">
        <v>374</v>
      </c>
      <c r="B15" s="13" t="s">
        <v>217</v>
      </c>
      <c r="C15" s="13" t="s">
        <v>375</v>
      </c>
      <c r="D15" s="13" t="s">
        <v>344</v>
      </c>
      <c r="E15" s="16" t="s">
        <v>376</v>
      </c>
      <c r="F15" s="16">
        <v>0.0162</v>
      </c>
      <c r="G15" s="16">
        <v>-0.0838</v>
      </c>
      <c r="H15" s="16">
        <v>-0.0948</v>
      </c>
      <c r="I15" s="27">
        <v>0.1481</v>
      </c>
      <c r="J15" s="16">
        <v>0.1092</v>
      </c>
      <c r="K15" s="16">
        <v>0.1853</v>
      </c>
      <c r="L15" s="16">
        <v>0.1141</v>
      </c>
      <c r="M15" s="29">
        <v>1.1231</v>
      </c>
    </row>
    <row r="16" ht="15.6" customHeight="1" spans="1:13">
      <c r="A16" s="12" t="s">
        <v>377</v>
      </c>
      <c r="B16" s="13" t="s">
        <v>156</v>
      </c>
      <c r="C16" s="13" t="s">
        <v>378</v>
      </c>
      <c r="D16" s="13" t="s">
        <v>344</v>
      </c>
      <c r="E16" s="16" t="s">
        <v>379</v>
      </c>
      <c r="F16" s="16">
        <v>0.0158</v>
      </c>
      <c r="G16" s="16">
        <v>0.0338</v>
      </c>
      <c r="H16" s="16">
        <v>0.0215</v>
      </c>
      <c r="I16" s="27">
        <v>0.0745</v>
      </c>
      <c r="J16" s="16">
        <v>0.0452</v>
      </c>
      <c r="K16" s="16">
        <v>0.0626</v>
      </c>
      <c r="L16" s="16">
        <v>0.051</v>
      </c>
      <c r="M16" s="29">
        <v>1.0679</v>
      </c>
    </row>
    <row r="17" ht="15.6" customHeight="1" spans="1:13">
      <c r="A17" s="12" t="s">
        <v>380</v>
      </c>
      <c r="B17" s="13" t="s">
        <v>30</v>
      </c>
      <c r="C17" s="13" t="s">
        <v>381</v>
      </c>
      <c r="D17" s="13" t="s">
        <v>344</v>
      </c>
      <c r="E17" s="16" t="s">
        <v>206</v>
      </c>
      <c r="F17" s="16">
        <v>0.0151</v>
      </c>
      <c r="G17" s="16">
        <v>-0.0184</v>
      </c>
      <c r="H17" s="16">
        <v>-0.0477</v>
      </c>
      <c r="I17" s="27">
        <v>0.0216</v>
      </c>
      <c r="J17" s="16">
        <v>0.0661</v>
      </c>
      <c r="K17" s="16">
        <v>0.1831</v>
      </c>
      <c r="L17" s="16">
        <v>0.1108</v>
      </c>
      <c r="M17" s="29">
        <v>0.0146</v>
      </c>
    </row>
    <row r="18" ht="15.6" customHeight="1" spans="1:13">
      <c r="A18" s="12" t="s">
        <v>382</v>
      </c>
      <c r="B18" s="13" t="s">
        <v>156</v>
      </c>
      <c r="C18" s="13" t="s">
        <v>383</v>
      </c>
      <c r="D18" s="13" t="s">
        <v>344</v>
      </c>
      <c r="E18" s="16" t="s">
        <v>384</v>
      </c>
      <c r="F18" s="16">
        <v>0.0142</v>
      </c>
      <c r="G18" s="16">
        <v>-0.035</v>
      </c>
      <c r="H18" s="16">
        <v>0.0002</v>
      </c>
      <c r="I18" s="27">
        <v>0.1446</v>
      </c>
      <c r="J18" s="16">
        <v>0.0623</v>
      </c>
      <c r="K18" s="16">
        <v>0.1064</v>
      </c>
      <c r="L18" s="16">
        <v>0.0776</v>
      </c>
      <c r="M18" s="29">
        <v>1.6049</v>
      </c>
    </row>
    <row r="19" ht="15.6" customHeight="1" spans="1:13">
      <c r="A19" s="12" t="s">
        <v>385</v>
      </c>
      <c r="B19" s="13" t="s">
        <v>156</v>
      </c>
      <c r="C19" s="13" t="s">
        <v>386</v>
      </c>
      <c r="D19" s="13" t="s">
        <v>344</v>
      </c>
      <c r="E19" s="16" t="s">
        <v>387</v>
      </c>
      <c r="F19" s="16">
        <v>0.0117</v>
      </c>
      <c r="G19" s="16">
        <v>0.0137</v>
      </c>
      <c r="H19" s="16">
        <v>0.0217</v>
      </c>
      <c r="I19" s="27">
        <v>0.1478</v>
      </c>
      <c r="J19" s="16">
        <v>0.0379</v>
      </c>
      <c r="K19" s="16">
        <v>0.0858</v>
      </c>
      <c r="L19" s="16">
        <v>0.0739</v>
      </c>
      <c r="M19" s="29">
        <v>1.7281</v>
      </c>
    </row>
    <row r="20" ht="15.6" customHeight="1" spans="1:13">
      <c r="A20" s="12" t="s">
        <v>388</v>
      </c>
      <c r="B20" s="13" t="s">
        <v>156</v>
      </c>
      <c r="C20" s="13" t="s">
        <v>389</v>
      </c>
      <c r="D20" s="13" t="s">
        <v>344</v>
      </c>
      <c r="E20" s="16" t="s">
        <v>390</v>
      </c>
      <c r="F20" s="16">
        <v>0.0096</v>
      </c>
      <c r="G20" s="16">
        <v>-0.0471</v>
      </c>
      <c r="H20" s="16">
        <v>-0.0347</v>
      </c>
      <c r="I20" s="27">
        <v>0.0807</v>
      </c>
      <c r="J20" s="16">
        <v>0.0679</v>
      </c>
      <c r="K20" s="16">
        <v>0.0679</v>
      </c>
      <c r="L20" s="16">
        <v>0.0693</v>
      </c>
      <c r="M20" s="29">
        <v>0.8762</v>
      </c>
    </row>
    <row r="21" ht="15.6" customHeight="1" spans="1:13">
      <c r="A21" s="12" t="s">
        <v>391</v>
      </c>
      <c r="B21" s="13" t="s">
        <v>156</v>
      </c>
      <c r="C21" s="13" t="s">
        <v>392</v>
      </c>
      <c r="D21" s="13" t="s">
        <v>344</v>
      </c>
      <c r="E21" s="16" t="s">
        <v>393</v>
      </c>
      <c r="F21" s="16">
        <v>0.0094</v>
      </c>
      <c r="G21" s="16">
        <v>0.0597</v>
      </c>
      <c r="H21" s="16">
        <v>0.0991</v>
      </c>
      <c r="I21" s="27">
        <v>0.1438</v>
      </c>
      <c r="J21" s="16">
        <v>0.0344</v>
      </c>
      <c r="K21" s="16">
        <v>0.1423</v>
      </c>
      <c r="L21" s="16">
        <v>0.0736</v>
      </c>
      <c r="M21" s="29">
        <v>1.6826</v>
      </c>
    </row>
    <row r="22" ht="15.6" customHeight="1" spans="1:13">
      <c r="A22" s="12" t="s">
        <v>288</v>
      </c>
      <c r="B22" s="13" t="s">
        <v>217</v>
      </c>
      <c r="C22" s="13" t="s">
        <v>394</v>
      </c>
      <c r="D22" s="13" t="s">
        <v>344</v>
      </c>
      <c r="E22" s="16" t="s">
        <v>395</v>
      </c>
      <c r="F22" s="16">
        <v>0.0089</v>
      </c>
      <c r="G22" s="16">
        <v>-0.021</v>
      </c>
      <c r="H22" s="16">
        <v>0.0319</v>
      </c>
      <c r="I22" s="27">
        <v>0.185</v>
      </c>
      <c r="J22" s="16">
        <v>0.0666</v>
      </c>
      <c r="K22" s="16">
        <v>0.0754</v>
      </c>
      <c r="L22" s="16">
        <v>0.0728</v>
      </c>
      <c r="M22" s="29">
        <v>2.2659</v>
      </c>
    </row>
    <row r="23" ht="15.6" customHeight="1" spans="1:13">
      <c r="A23" s="12" t="s">
        <v>396</v>
      </c>
      <c r="B23" s="13" t="s">
        <v>30</v>
      </c>
      <c r="C23" s="13" t="s">
        <v>397</v>
      </c>
      <c r="D23" s="13" t="s">
        <v>344</v>
      </c>
      <c r="E23" s="16" t="s">
        <v>209</v>
      </c>
      <c r="F23" s="16">
        <v>0.0076</v>
      </c>
      <c r="G23" s="16">
        <v>0.0265</v>
      </c>
      <c r="H23" s="16">
        <v>0.0708</v>
      </c>
      <c r="I23" s="27">
        <v>0.0907</v>
      </c>
      <c r="J23" s="16">
        <v>0.0374</v>
      </c>
      <c r="K23" s="16">
        <v>0.1123</v>
      </c>
      <c r="L23" s="16">
        <v>0.0992</v>
      </c>
      <c r="M23" s="29">
        <v>0.7128</v>
      </c>
    </row>
    <row r="24" ht="15.6" customHeight="1" spans="1:13">
      <c r="A24" s="12" t="s">
        <v>398</v>
      </c>
      <c r="B24" s="13" t="s">
        <v>30</v>
      </c>
      <c r="C24" s="13" t="s">
        <v>399</v>
      </c>
      <c r="D24" s="13" t="s">
        <v>344</v>
      </c>
      <c r="E24" s="16" t="s">
        <v>400</v>
      </c>
      <c r="F24" s="16">
        <v>0.0072</v>
      </c>
      <c r="G24" s="16">
        <v>0.042</v>
      </c>
      <c r="H24" s="16">
        <v>0.0596</v>
      </c>
      <c r="I24" s="27">
        <v>0.1162</v>
      </c>
      <c r="J24" s="16">
        <v>0.0535</v>
      </c>
      <c r="K24" s="16">
        <v>0.2173</v>
      </c>
      <c r="L24" s="16">
        <v>0.1077</v>
      </c>
      <c r="M24" s="29">
        <v>0.8932</v>
      </c>
    </row>
    <row r="25" ht="15.6" customHeight="1" spans="1:13">
      <c r="A25" s="12" t="s">
        <v>401</v>
      </c>
      <c r="B25" s="13" t="s">
        <v>156</v>
      </c>
      <c r="C25" s="13" t="s">
        <v>402</v>
      </c>
      <c r="D25" s="13" t="s">
        <v>344</v>
      </c>
      <c r="E25" s="16" t="s">
        <v>403</v>
      </c>
      <c r="F25" s="16">
        <v>0.0071</v>
      </c>
      <c r="G25" s="16">
        <v>0.0521</v>
      </c>
      <c r="H25" s="16">
        <v>0.0752</v>
      </c>
      <c r="I25" s="27">
        <v>0.1364</v>
      </c>
      <c r="J25" s="16">
        <v>0.0543</v>
      </c>
      <c r="K25" s="16">
        <v>0.1028</v>
      </c>
      <c r="L25" s="16">
        <v>0.0854</v>
      </c>
      <c r="M25" s="29">
        <v>1.3634</v>
      </c>
    </row>
    <row r="26" ht="15.6" customHeight="1" spans="1:13">
      <c r="A26" s="12" t="s">
        <v>404</v>
      </c>
      <c r="B26" s="13" t="s">
        <v>54</v>
      </c>
      <c r="C26" s="13" t="s">
        <v>405</v>
      </c>
      <c r="D26" s="13" t="s">
        <v>344</v>
      </c>
      <c r="E26" s="16" t="s">
        <v>406</v>
      </c>
      <c r="F26" s="16">
        <v>0.0068</v>
      </c>
      <c r="G26" s="16">
        <v>-0.0175</v>
      </c>
      <c r="H26" s="16">
        <v>-0.0483</v>
      </c>
      <c r="I26" s="27">
        <v>0.1332</v>
      </c>
      <c r="J26" s="16">
        <v>0.0573</v>
      </c>
      <c r="K26" s="16">
        <v>0.1132</v>
      </c>
      <c r="L26" s="16">
        <v>0.0955</v>
      </c>
      <c r="M26" s="29">
        <v>1.1853</v>
      </c>
    </row>
    <row r="27" ht="15.6" customHeight="1" spans="1:13">
      <c r="A27" s="12" t="s">
        <v>310</v>
      </c>
      <c r="B27" s="13" t="s">
        <v>156</v>
      </c>
      <c r="C27" s="13" t="s">
        <v>407</v>
      </c>
      <c r="D27" s="13" t="s">
        <v>344</v>
      </c>
      <c r="E27" s="16" t="s">
        <v>408</v>
      </c>
      <c r="F27" s="16">
        <v>0.0067</v>
      </c>
      <c r="G27" s="16">
        <v>0.0199</v>
      </c>
      <c r="H27" s="16">
        <v>0.0496</v>
      </c>
      <c r="I27" s="27">
        <v>0.0448</v>
      </c>
      <c r="J27" s="16">
        <v>0.0221</v>
      </c>
      <c r="K27" s="16">
        <v>0.1919</v>
      </c>
      <c r="L27" s="16">
        <v>0.0683</v>
      </c>
      <c r="M27" s="29">
        <v>0.3628</v>
      </c>
    </row>
    <row r="28" ht="15.6" customHeight="1" spans="1:13">
      <c r="A28" s="12" t="s">
        <v>409</v>
      </c>
      <c r="B28" s="13" t="s">
        <v>156</v>
      </c>
      <c r="C28" s="13" t="s">
        <v>410</v>
      </c>
      <c r="D28" s="13" t="s">
        <v>344</v>
      </c>
      <c r="E28" s="16" t="s">
        <v>411</v>
      </c>
      <c r="F28" s="16">
        <v>0.0058</v>
      </c>
      <c r="G28" s="16">
        <v>0.0187</v>
      </c>
      <c r="H28" s="16">
        <v>0.0642</v>
      </c>
      <c r="I28" s="27">
        <v>0.1442</v>
      </c>
      <c r="J28" s="16">
        <v>0.0371</v>
      </c>
      <c r="K28" s="16">
        <v>0.1008</v>
      </c>
      <c r="L28" s="16">
        <v>0.0862</v>
      </c>
      <c r="M28" s="29">
        <v>1.441</v>
      </c>
    </row>
    <row r="29" ht="15.6" customHeight="1" spans="1:13">
      <c r="A29" s="12" t="s">
        <v>412</v>
      </c>
      <c r="B29" s="13" t="s">
        <v>61</v>
      </c>
      <c r="C29" s="13" t="s">
        <v>413</v>
      </c>
      <c r="D29" s="13" t="s">
        <v>344</v>
      </c>
      <c r="E29" s="16" t="s">
        <v>414</v>
      </c>
      <c r="F29" s="16">
        <v>0.0033</v>
      </c>
      <c r="G29" s="16">
        <v>0.1156</v>
      </c>
      <c r="H29" s="16">
        <v>0.1293</v>
      </c>
      <c r="I29" s="27">
        <v>0.1419</v>
      </c>
      <c r="J29" s="16">
        <v>0.0248</v>
      </c>
      <c r="K29" s="16">
        <v>0.0702</v>
      </c>
      <c r="L29" s="16">
        <v>0.0739</v>
      </c>
      <c r="M29" s="29">
        <v>1.6504</v>
      </c>
    </row>
    <row r="30" ht="15.6" customHeight="1" spans="1:13">
      <c r="A30" s="12" t="s">
        <v>415</v>
      </c>
      <c r="B30" s="13" t="s">
        <v>38</v>
      </c>
      <c r="C30" s="13" t="s">
        <v>416</v>
      </c>
      <c r="D30" s="13" t="s">
        <v>344</v>
      </c>
      <c r="E30" s="16" t="s">
        <v>417</v>
      </c>
      <c r="F30" s="16">
        <v>0.0032</v>
      </c>
      <c r="G30" s="16">
        <v>0.0394</v>
      </c>
      <c r="H30" s="16">
        <v>0.0726</v>
      </c>
      <c r="I30" s="27">
        <v>0.1125</v>
      </c>
      <c r="J30" s="16">
        <v>0.018</v>
      </c>
      <c r="K30" s="16">
        <v>0.0428</v>
      </c>
      <c r="L30" s="16">
        <v>0.0907</v>
      </c>
      <c r="M30" s="29">
        <v>1.0199</v>
      </c>
    </row>
    <row r="31" ht="15.6" customHeight="1" spans="1:13">
      <c r="A31" s="12" t="s">
        <v>418</v>
      </c>
      <c r="B31" s="13" t="s">
        <v>30</v>
      </c>
      <c r="C31" s="13" t="s">
        <v>419</v>
      </c>
      <c r="D31" s="13" t="s">
        <v>344</v>
      </c>
      <c r="E31" s="16" t="s">
        <v>420</v>
      </c>
      <c r="F31" s="16">
        <v>0.003</v>
      </c>
      <c r="G31" s="16">
        <v>0.0447</v>
      </c>
      <c r="H31" s="16">
        <v>0.0496</v>
      </c>
      <c r="I31" s="27">
        <v>0.1052</v>
      </c>
      <c r="J31" s="16">
        <v>0.0342</v>
      </c>
      <c r="K31" s="16">
        <v>0.0342</v>
      </c>
      <c r="L31" s="16">
        <v>0.0579</v>
      </c>
      <c r="M31" s="29">
        <v>1.4719</v>
      </c>
    </row>
    <row r="32" ht="15.6" customHeight="1" spans="1:13">
      <c r="A32" s="12" t="s">
        <v>106</v>
      </c>
      <c r="B32" s="13" t="s">
        <v>54</v>
      </c>
      <c r="C32" s="13" t="s">
        <v>421</v>
      </c>
      <c r="D32" s="13" t="s">
        <v>344</v>
      </c>
      <c r="E32" s="16" t="s">
        <v>422</v>
      </c>
      <c r="F32" s="16">
        <v>0.0021</v>
      </c>
      <c r="G32" s="16">
        <v>0.288</v>
      </c>
      <c r="H32" s="16">
        <v>0.079</v>
      </c>
      <c r="I32" s="27">
        <v>0.2333</v>
      </c>
      <c r="J32" s="16">
        <v>0.1979</v>
      </c>
      <c r="K32" s="16">
        <v>0.1979</v>
      </c>
      <c r="L32" s="16">
        <v>0.2173</v>
      </c>
      <c r="M32" s="29">
        <v>0.9817</v>
      </c>
    </row>
    <row r="33" ht="15.6" customHeight="1" spans="1:13">
      <c r="A33" s="12" t="s">
        <v>423</v>
      </c>
      <c r="B33" s="13" t="s">
        <v>156</v>
      </c>
      <c r="C33" s="13" t="s">
        <v>424</v>
      </c>
      <c r="D33" s="13" t="s">
        <v>344</v>
      </c>
      <c r="E33" s="16" t="s">
        <v>425</v>
      </c>
      <c r="F33" s="16">
        <v>0.0021</v>
      </c>
      <c r="G33" s="16">
        <v>0.0262</v>
      </c>
      <c r="H33" s="16">
        <v>0.0265</v>
      </c>
      <c r="I33" s="27">
        <v>0.0581</v>
      </c>
      <c r="J33" s="16">
        <v>0.0147</v>
      </c>
      <c r="K33" s="16">
        <v>0.2262</v>
      </c>
      <c r="L33" s="16">
        <v>0.1004</v>
      </c>
      <c r="M33" s="29">
        <v>0.3797</v>
      </c>
    </row>
    <row r="34" ht="15.6" customHeight="1" spans="1:13">
      <c r="A34" s="12" t="s">
        <v>426</v>
      </c>
      <c r="B34" s="13" t="s">
        <v>156</v>
      </c>
      <c r="C34" s="13" t="s">
        <v>427</v>
      </c>
      <c r="D34" s="13" t="s">
        <v>344</v>
      </c>
      <c r="E34" s="16" t="s">
        <v>336</v>
      </c>
      <c r="F34" s="16">
        <v>0.002</v>
      </c>
      <c r="G34" s="16">
        <v>0.0347</v>
      </c>
      <c r="H34" s="16">
        <v>0.0325</v>
      </c>
      <c r="I34" s="27">
        <v>0.1802</v>
      </c>
      <c r="J34" s="16">
        <v>0.0328</v>
      </c>
      <c r="K34" s="16">
        <v>0.0526</v>
      </c>
      <c r="L34" s="16">
        <v>0.0664</v>
      </c>
      <c r="M34" s="29">
        <v>2.412</v>
      </c>
    </row>
    <row r="35" ht="15.6" customHeight="1" spans="1:13">
      <c r="A35" s="12" t="s">
        <v>428</v>
      </c>
      <c r="B35" s="13" t="s">
        <v>156</v>
      </c>
      <c r="C35" s="13" t="s">
        <v>429</v>
      </c>
      <c r="D35" s="13" t="s">
        <v>344</v>
      </c>
      <c r="E35" s="16" t="s">
        <v>430</v>
      </c>
      <c r="F35" s="16">
        <v>0.0019</v>
      </c>
      <c r="G35" s="16">
        <v>0.059</v>
      </c>
      <c r="H35" s="16">
        <v>0.0649</v>
      </c>
      <c r="I35" s="27">
        <v>0.1148</v>
      </c>
      <c r="J35" s="16">
        <v>0.024</v>
      </c>
      <c r="K35" s="16">
        <v>0.0799</v>
      </c>
      <c r="L35" s="16">
        <v>0.0762</v>
      </c>
      <c r="M35" s="29">
        <v>1.2442</v>
      </c>
    </row>
    <row r="36" ht="15.6" customHeight="1" spans="1:13">
      <c r="A36" s="12" t="s">
        <v>431</v>
      </c>
      <c r="B36" s="13" t="s">
        <v>217</v>
      </c>
      <c r="C36" s="13" t="s">
        <v>432</v>
      </c>
      <c r="D36" s="13" t="s">
        <v>344</v>
      </c>
      <c r="E36" s="16" t="s">
        <v>433</v>
      </c>
      <c r="F36" s="16">
        <v>0.0008</v>
      </c>
      <c r="G36" s="16">
        <v>0.0169</v>
      </c>
      <c r="H36" s="16">
        <v>0.0266</v>
      </c>
      <c r="I36" s="27">
        <v>0.0786</v>
      </c>
      <c r="J36" s="16">
        <v>0.0073</v>
      </c>
      <c r="K36" s="16">
        <v>0.0857</v>
      </c>
      <c r="L36" s="16">
        <v>0.062</v>
      </c>
      <c r="M36" s="29">
        <v>0.9444</v>
      </c>
    </row>
    <row r="37" ht="15.6" customHeight="1" spans="1:13">
      <c r="A37" s="12" t="s">
        <v>434</v>
      </c>
      <c r="B37" s="13" t="s">
        <v>156</v>
      </c>
      <c r="C37" s="13" t="s">
        <v>435</v>
      </c>
      <c r="D37" s="13" t="s">
        <v>344</v>
      </c>
      <c r="E37" s="16" t="s">
        <v>436</v>
      </c>
      <c r="F37" s="16">
        <v>0.0001</v>
      </c>
      <c r="G37" s="16">
        <v>0.0514</v>
      </c>
      <c r="H37" s="16">
        <v>0.0878</v>
      </c>
      <c r="I37" s="27">
        <v>0.1876</v>
      </c>
      <c r="J37" s="16">
        <v>0.0161</v>
      </c>
      <c r="K37" s="16">
        <v>0.0987</v>
      </c>
      <c r="L37" s="16">
        <v>0.0889</v>
      </c>
      <c r="M37" s="29">
        <v>1.8855</v>
      </c>
    </row>
    <row r="38" ht="15.6" customHeight="1" spans="1:13">
      <c r="A38" s="12" t="s">
        <v>437</v>
      </c>
      <c r="B38" s="13" t="s">
        <v>61</v>
      </c>
      <c r="C38" s="13" t="s">
        <v>438</v>
      </c>
      <c r="D38" s="13" t="s">
        <v>344</v>
      </c>
      <c r="E38" s="16" t="s">
        <v>439</v>
      </c>
      <c r="F38" s="16">
        <v>-0.0006</v>
      </c>
      <c r="G38" s="16">
        <v>-0.0874</v>
      </c>
      <c r="H38" s="16">
        <v>-0.0026</v>
      </c>
      <c r="I38" s="27">
        <v>-0.0148</v>
      </c>
      <c r="J38" s="16">
        <v>0.1126</v>
      </c>
      <c r="K38" s="16">
        <v>0.237</v>
      </c>
      <c r="L38" s="16">
        <v>0.2355</v>
      </c>
      <c r="M38" s="29">
        <v>-0.1479</v>
      </c>
    </row>
    <row r="39" ht="15.6" customHeight="1" spans="1:13">
      <c r="A39" s="12" t="s">
        <v>440</v>
      </c>
      <c r="B39" s="13" t="s">
        <v>156</v>
      </c>
      <c r="C39" s="13" t="s">
        <v>441</v>
      </c>
      <c r="D39" s="13" t="s">
        <v>344</v>
      </c>
      <c r="E39" s="16" t="s">
        <v>442</v>
      </c>
      <c r="F39" s="16">
        <v>-0.001</v>
      </c>
      <c r="G39" s="16">
        <v>-0.0785</v>
      </c>
      <c r="H39" s="16">
        <v>-0.0272</v>
      </c>
      <c r="I39" s="27">
        <v>0.0772</v>
      </c>
      <c r="J39" s="16">
        <v>0.0785</v>
      </c>
      <c r="K39" s="16">
        <v>0.1238</v>
      </c>
      <c r="L39" s="16">
        <v>0.0768</v>
      </c>
      <c r="M39" s="29">
        <v>0.7456</v>
      </c>
    </row>
    <row r="40" ht="15.6" customHeight="1" spans="1:13">
      <c r="A40" s="12" t="s">
        <v>443</v>
      </c>
      <c r="B40" s="13" t="s">
        <v>217</v>
      </c>
      <c r="C40" s="13" t="s">
        <v>444</v>
      </c>
      <c r="D40" s="13" t="s">
        <v>344</v>
      </c>
      <c r="E40" s="16" t="s">
        <v>445</v>
      </c>
      <c r="F40" s="16">
        <v>-0.0017</v>
      </c>
      <c r="G40" s="16">
        <v>0.0209</v>
      </c>
      <c r="H40" s="16">
        <v>0.0203</v>
      </c>
      <c r="I40" s="27">
        <v>0.1301</v>
      </c>
      <c r="J40" s="16">
        <v>0.0265</v>
      </c>
      <c r="K40" s="16">
        <v>0.0626</v>
      </c>
      <c r="L40" s="16">
        <v>0.0584</v>
      </c>
      <c r="M40" s="29">
        <v>1.8837</v>
      </c>
    </row>
    <row r="41" ht="15.6" customHeight="1" spans="1:13">
      <c r="A41" s="12" t="s">
        <v>446</v>
      </c>
      <c r="B41" s="13" t="s">
        <v>217</v>
      </c>
      <c r="C41" s="13" t="s">
        <v>447</v>
      </c>
      <c r="D41" s="13" t="s">
        <v>344</v>
      </c>
      <c r="E41" s="16" t="s">
        <v>448</v>
      </c>
      <c r="F41" s="16">
        <v>-0.0036</v>
      </c>
      <c r="G41" s="16">
        <v>-0.0076</v>
      </c>
      <c r="H41" s="16">
        <v>0.0235</v>
      </c>
      <c r="I41" s="27">
        <v>0.0523</v>
      </c>
      <c r="J41" s="16">
        <v>0.0275</v>
      </c>
      <c r="K41" s="16">
        <v>0.1224</v>
      </c>
      <c r="L41" s="16">
        <v>0.0841</v>
      </c>
      <c r="M41" s="29">
        <v>0.3841</v>
      </c>
    </row>
    <row r="42" ht="15.6" customHeight="1" spans="1:13">
      <c r="A42" s="12" t="s">
        <v>449</v>
      </c>
      <c r="B42" s="13" t="s">
        <v>156</v>
      </c>
      <c r="C42" s="13" t="s">
        <v>450</v>
      </c>
      <c r="D42" s="13" t="s">
        <v>344</v>
      </c>
      <c r="E42" s="16" t="s">
        <v>451</v>
      </c>
      <c r="F42" s="16">
        <v>-0.004</v>
      </c>
      <c r="G42" s="16">
        <v>0.0136</v>
      </c>
      <c r="H42" s="16">
        <v>0.043</v>
      </c>
      <c r="I42" s="27">
        <v>0.1673</v>
      </c>
      <c r="J42" s="16">
        <v>0.0146</v>
      </c>
      <c r="K42" s="16">
        <v>0.1491</v>
      </c>
      <c r="L42" s="16">
        <v>0.0854</v>
      </c>
      <c r="M42" s="29">
        <v>1.725</v>
      </c>
    </row>
    <row r="43" ht="15.6" customHeight="1" spans="1:13">
      <c r="A43" s="12" t="s">
        <v>319</v>
      </c>
      <c r="B43" s="13" t="s">
        <v>156</v>
      </c>
      <c r="C43" s="13" t="s">
        <v>452</v>
      </c>
      <c r="D43" s="13" t="s">
        <v>344</v>
      </c>
      <c r="E43" s="16" t="s">
        <v>453</v>
      </c>
      <c r="F43" s="16">
        <v>-0.0043</v>
      </c>
      <c r="G43" s="16">
        <v>0.1222</v>
      </c>
      <c r="H43" s="16">
        <v>0.1575</v>
      </c>
      <c r="I43" s="27">
        <v>0.1428</v>
      </c>
      <c r="J43" s="16">
        <v>0.0307</v>
      </c>
      <c r="K43" s="16">
        <v>0.059</v>
      </c>
      <c r="L43" s="16">
        <v>0.0763</v>
      </c>
      <c r="M43" s="29">
        <v>1.6088</v>
      </c>
    </row>
    <row r="44" ht="15.6" customHeight="1" spans="1:13">
      <c r="A44" s="12" t="s">
        <v>454</v>
      </c>
      <c r="B44" s="13" t="s">
        <v>30</v>
      </c>
      <c r="C44" s="13" t="s">
        <v>455</v>
      </c>
      <c r="D44" s="13" t="s">
        <v>344</v>
      </c>
      <c r="E44" s="16" t="s">
        <v>456</v>
      </c>
      <c r="F44" s="16">
        <v>-0.0045</v>
      </c>
      <c r="G44" s="16">
        <v>-0.0919</v>
      </c>
      <c r="H44" s="16">
        <v>-0.1026</v>
      </c>
      <c r="I44" s="27">
        <v>-0.0052</v>
      </c>
      <c r="J44" s="16">
        <v>0.1047</v>
      </c>
      <c r="K44" s="16">
        <v>0.1395</v>
      </c>
      <c r="L44" s="16">
        <v>0.1053</v>
      </c>
      <c r="M44" s="29">
        <v>-0.2391</v>
      </c>
    </row>
    <row r="45" ht="15.6" customHeight="1" spans="1:13">
      <c r="A45" s="12" t="s">
        <v>457</v>
      </c>
      <c r="B45" s="13" t="s">
        <v>156</v>
      </c>
      <c r="C45" s="13" t="s">
        <v>458</v>
      </c>
      <c r="D45" s="13" t="s">
        <v>344</v>
      </c>
      <c r="E45" s="16" t="s">
        <v>459</v>
      </c>
      <c r="F45" s="16">
        <v>-0.0048</v>
      </c>
      <c r="G45" s="16">
        <v>0.0299</v>
      </c>
      <c r="H45" s="16">
        <v>0.0649</v>
      </c>
      <c r="I45" s="27">
        <v>0.1199</v>
      </c>
      <c r="J45" s="16">
        <v>0.0125</v>
      </c>
      <c r="K45" s="16">
        <v>0.0667</v>
      </c>
      <c r="L45" s="16">
        <v>0.0495</v>
      </c>
      <c r="M45" s="29">
        <v>2.0189</v>
      </c>
    </row>
    <row r="46" ht="15.6" customHeight="1" spans="1:13">
      <c r="A46" s="12" t="s">
        <v>328</v>
      </c>
      <c r="B46" s="13" t="s">
        <v>217</v>
      </c>
      <c r="C46" s="13" t="s">
        <v>460</v>
      </c>
      <c r="D46" s="13" t="s">
        <v>344</v>
      </c>
      <c r="E46" s="16" t="s">
        <v>461</v>
      </c>
      <c r="F46" s="16">
        <v>-0.0052</v>
      </c>
      <c r="G46" s="16">
        <v>0.0409</v>
      </c>
      <c r="H46" s="16">
        <v>0.0393</v>
      </c>
      <c r="I46" s="27">
        <v>0.13</v>
      </c>
      <c r="J46" s="16">
        <v>0.0282</v>
      </c>
      <c r="K46" s="16">
        <v>0.0587</v>
      </c>
      <c r="L46" s="16">
        <v>0.0582</v>
      </c>
      <c r="M46" s="29">
        <v>1.8892</v>
      </c>
    </row>
    <row r="47" ht="15.6" customHeight="1" spans="1:13">
      <c r="A47" s="12" t="s">
        <v>462</v>
      </c>
      <c r="B47" s="13" t="s">
        <v>61</v>
      </c>
      <c r="C47" s="13" t="s">
        <v>463</v>
      </c>
      <c r="D47" s="13" t="s">
        <v>344</v>
      </c>
      <c r="E47" s="16" t="s">
        <v>464</v>
      </c>
      <c r="F47" s="16">
        <v>-0.0068</v>
      </c>
      <c r="G47" s="16">
        <v>0.0103</v>
      </c>
      <c r="H47" s="16">
        <v>-0.0167</v>
      </c>
      <c r="I47" s="27">
        <v>0.0998</v>
      </c>
      <c r="J47" s="16">
        <v>0.0295</v>
      </c>
      <c r="K47" s="16">
        <v>0.0846</v>
      </c>
      <c r="L47" s="16">
        <v>0.05</v>
      </c>
      <c r="M47" s="29">
        <v>1.5961</v>
      </c>
    </row>
    <row r="48" ht="15.6" customHeight="1" spans="1:13">
      <c r="A48" s="12" t="s">
        <v>316</v>
      </c>
      <c r="B48" s="13" t="s">
        <v>156</v>
      </c>
      <c r="C48" s="13" t="s">
        <v>465</v>
      </c>
      <c r="D48" s="13" t="s">
        <v>344</v>
      </c>
      <c r="E48" s="16" t="s">
        <v>466</v>
      </c>
      <c r="F48" s="16">
        <v>-0.0074</v>
      </c>
      <c r="G48" s="16">
        <v>0.0323</v>
      </c>
      <c r="H48" s="16">
        <v>0.0618</v>
      </c>
      <c r="I48" s="27">
        <v>0.1485</v>
      </c>
      <c r="J48" s="16">
        <v>0.0324</v>
      </c>
      <c r="K48" s="16">
        <v>0.0698</v>
      </c>
      <c r="L48" s="16">
        <v>0.0893</v>
      </c>
      <c r="M48" s="29">
        <v>1.439</v>
      </c>
    </row>
    <row r="49" ht="15.6" customHeight="1" spans="1:13">
      <c r="A49" s="12" t="s">
        <v>467</v>
      </c>
      <c r="B49" s="13" t="s">
        <v>54</v>
      </c>
      <c r="C49" s="13" t="s">
        <v>468</v>
      </c>
      <c r="D49" s="13" t="s">
        <v>344</v>
      </c>
      <c r="E49" s="16" t="s">
        <v>469</v>
      </c>
      <c r="F49" s="16">
        <v>-0.0074</v>
      </c>
      <c r="G49" s="16">
        <v>0.0396</v>
      </c>
      <c r="H49" s="16">
        <v>0.0472</v>
      </c>
      <c r="I49" s="27">
        <v>0.0797</v>
      </c>
      <c r="J49" s="16">
        <v>0.0124</v>
      </c>
      <c r="K49" s="16">
        <v>0.0388</v>
      </c>
      <c r="L49" s="16">
        <v>0.0463</v>
      </c>
      <c r="M49" s="29">
        <v>1.2892</v>
      </c>
    </row>
    <row r="50" ht="15.6" customHeight="1" spans="1:13">
      <c r="A50" s="12" t="s">
        <v>313</v>
      </c>
      <c r="B50" s="13" t="s">
        <v>156</v>
      </c>
      <c r="C50" s="13" t="s">
        <v>470</v>
      </c>
      <c r="D50" s="13" t="s">
        <v>344</v>
      </c>
      <c r="E50" s="16" t="s">
        <v>471</v>
      </c>
      <c r="F50" s="16">
        <v>-0.0089</v>
      </c>
      <c r="G50" s="16">
        <v>0.0335</v>
      </c>
      <c r="H50" s="16">
        <v>0.0313</v>
      </c>
      <c r="I50" s="27">
        <v>0.2538</v>
      </c>
      <c r="J50" s="16">
        <v>0.0478</v>
      </c>
      <c r="K50" s="16">
        <v>0.0494</v>
      </c>
      <c r="L50" s="16">
        <v>0.0771</v>
      </c>
      <c r="M50" s="29">
        <v>3.0321</v>
      </c>
    </row>
    <row r="51" ht="15.6" customHeight="1" spans="1:13">
      <c r="A51" s="12" t="s">
        <v>472</v>
      </c>
      <c r="B51" s="13" t="s">
        <v>30</v>
      </c>
      <c r="C51" s="13" t="s">
        <v>473</v>
      </c>
      <c r="D51" s="13" t="s">
        <v>344</v>
      </c>
      <c r="E51" s="16" t="s">
        <v>222</v>
      </c>
      <c r="F51" s="16">
        <v>-0.01</v>
      </c>
      <c r="G51" s="16">
        <v>-0.0542</v>
      </c>
      <c r="H51" s="16">
        <v>-0.0709</v>
      </c>
      <c r="I51" s="27">
        <v>0.1215</v>
      </c>
      <c r="J51" s="16">
        <v>0.0758</v>
      </c>
      <c r="K51" s="16">
        <v>0.1171</v>
      </c>
      <c r="L51" s="16">
        <v>0.0805</v>
      </c>
      <c r="M51" s="29">
        <v>1.2604</v>
      </c>
    </row>
    <row r="52" ht="15.6" customHeight="1" spans="1:13">
      <c r="A52" s="12" t="s">
        <v>474</v>
      </c>
      <c r="B52" s="13" t="s">
        <v>156</v>
      </c>
      <c r="C52" s="13" t="s">
        <v>475</v>
      </c>
      <c r="D52" s="13" t="s">
        <v>344</v>
      </c>
      <c r="E52" s="16" t="s">
        <v>476</v>
      </c>
      <c r="F52" s="16">
        <v>-0.0103</v>
      </c>
      <c r="G52" s="16">
        <v>0.0001</v>
      </c>
      <c r="H52" s="16">
        <v>0.039</v>
      </c>
      <c r="I52" s="27">
        <v>0.1585</v>
      </c>
      <c r="J52" s="16">
        <v>0.0372</v>
      </c>
      <c r="K52" s="16">
        <v>0.0846</v>
      </c>
      <c r="L52" s="16">
        <v>0.0752</v>
      </c>
      <c r="M52" s="29">
        <v>1.8406</v>
      </c>
    </row>
    <row r="53" ht="15.6" customHeight="1" spans="1:13">
      <c r="A53" s="12" t="s">
        <v>477</v>
      </c>
      <c r="B53" s="13" t="s">
        <v>156</v>
      </c>
      <c r="C53" s="13" t="s">
        <v>478</v>
      </c>
      <c r="D53" s="13" t="s">
        <v>344</v>
      </c>
      <c r="E53" s="16" t="s">
        <v>479</v>
      </c>
      <c r="F53" s="16">
        <v>-0.0119</v>
      </c>
      <c r="G53" s="16">
        <v>0.0941</v>
      </c>
      <c r="H53" s="16">
        <v>0.1522</v>
      </c>
      <c r="I53" s="27">
        <v>0.2133</v>
      </c>
      <c r="J53" s="16">
        <v>0.0142</v>
      </c>
      <c r="K53" s="16">
        <v>0.1101</v>
      </c>
      <c r="L53" s="16">
        <v>0.0955</v>
      </c>
      <c r="M53" s="29">
        <v>2.0245</v>
      </c>
    </row>
    <row r="54" ht="15.6" customHeight="1" spans="1:13">
      <c r="A54" s="12" t="s">
        <v>480</v>
      </c>
      <c r="B54" s="13" t="s">
        <v>156</v>
      </c>
      <c r="C54" s="13" t="s">
        <v>481</v>
      </c>
      <c r="D54" s="13" t="s">
        <v>344</v>
      </c>
      <c r="E54" s="16" t="s">
        <v>482</v>
      </c>
      <c r="F54" s="16">
        <v>-0.0122</v>
      </c>
      <c r="G54" s="16">
        <v>0.0188</v>
      </c>
      <c r="H54" s="16">
        <v>0.0349</v>
      </c>
      <c r="I54" s="27">
        <v>0.145</v>
      </c>
      <c r="J54" s="16">
        <v>0.025</v>
      </c>
      <c r="K54" s="16">
        <v>0.0678</v>
      </c>
      <c r="L54" s="16">
        <v>0.0801</v>
      </c>
      <c r="M54" s="29">
        <v>1.56</v>
      </c>
    </row>
    <row r="55" ht="15.6" customHeight="1" spans="1:13">
      <c r="A55" s="12" t="s">
        <v>483</v>
      </c>
      <c r="B55" s="13" t="s">
        <v>217</v>
      </c>
      <c r="C55" s="13" t="s">
        <v>484</v>
      </c>
      <c r="D55" s="13" t="s">
        <v>344</v>
      </c>
      <c r="E55" s="16" t="s">
        <v>485</v>
      </c>
      <c r="F55" s="16">
        <v>-0.0123</v>
      </c>
      <c r="G55" s="16">
        <v>0.0296</v>
      </c>
      <c r="H55" s="16">
        <v>0.0375</v>
      </c>
      <c r="I55" s="27">
        <v>0.1283</v>
      </c>
      <c r="J55" s="16">
        <v>0.0278</v>
      </c>
      <c r="K55" s="16">
        <v>0.1263</v>
      </c>
      <c r="L55" s="16">
        <v>0.1219</v>
      </c>
      <c r="M55" s="29">
        <v>0.8884</v>
      </c>
    </row>
    <row r="56" ht="15.6" customHeight="1" spans="1:13">
      <c r="A56" s="12" t="s">
        <v>486</v>
      </c>
      <c r="B56" s="13" t="s">
        <v>217</v>
      </c>
      <c r="C56" s="13" t="s">
        <v>487</v>
      </c>
      <c r="D56" s="13" t="s">
        <v>344</v>
      </c>
      <c r="E56" s="16" t="s">
        <v>488</v>
      </c>
      <c r="F56" s="16">
        <v>-0.0124</v>
      </c>
      <c r="G56" s="16">
        <v>0.0382</v>
      </c>
      <c r="H56" s="16">
        <v>0.0509</v>
      </c>
      <c r="I56" s="27">
        <v>0.0545</v>
      </c>
      <c r="J56" s="16">
        <v>0.0407</v>
      </c>
      <c r="K56" s="16">
        <v>0.0687</v>
      </c>
      <c r="L56" s="16">
        <v>0.0668</v>
      </c>
      <c r="M56" s="29">
        <v>0.5159</v>
      </c>
    </row>
    <row r="57" ht="15.6" customHeight="1" spans="1:13">
      <c r="A57" s="12" t="s">
        <v>302</v>
      </c>
      <c r="B57" s="13" t="s">
        <v>156</v>
      </c>
      <c r="C57" s="13" t="s">
        <v>489</v>
      </c>
      <c r="D57" s="13" t="s">
        <v>344</v>
      </c>
      <c r="E57" s="16" t="s">
        <v>490</v>
      </c>
      <c r="F57" s="16">
        <v>-0.0141</v>
      </c>
      <c r="G57" s="16">
        <v>0.1027</v>
      </c>
      <c r="H57" s="16">
        <v>0.0983</v>
      </c>
      <c r="I57" s="27">
        <v>0.1847</v>
      </c>
      <c r="J57" s="16">
        <v>0.0441</v>
      </c>
      <c r="K57" s="16">
        <v>0.0774</v>
      </c>
      <c r="L57" s="16">
        <v>0.0734</v>
      </c>
      <c r="M57" s="29">
        <v>2.2431</v>
      </c>
    </row>
    <row r="58" ht="15.6" customHeight="1" spans="1:13">
      <c r="A58" s="12" t="s">
        <v>491</v>
      </c>
      <c r="B58" s="13" t="s">
        <v>54</v>
      </c>
      <c r="C58" s="13" t="s">
        <v>492</v>
      </c>
      <c r="D58" s="13" t="s">
        <v>344</v>
      </c>
      <c r="E58" s="16" t="s">
        <v>493</v>
      </c>
      <c r="F58" s="16">
        <v>-0.0141</v>
      </c>
      <c r="G58" s="16">
        <v>0.0043</v>
      </c>
      <c r="H58" s="16">
        <v>-0.0186</v>
      </c>
      <c r="I58" s="27">
        <v>0.0787</v>
      </c>
      <c r="J58" s="16">
        <v>0.0399</v>
      </c>
      <c r="K58" s="16">
        <v>0.0689</v>
      </c>
      <c r="L58" s="16">
        <v>0.0727</v>
      </c>
      <c r="M58" s="29">
        <v>0.8072</v>
      </c>
    </row>
    <row r="59" ht="15.6" customHeight="1" spans="1:13">
      <c r="A59" s="12" t="s">
        <v>322</v>
      </c>
      <c r="B59" s="13" t="s">
        <v>54</v>
      </c>
      <c r="C59" s="13" t="s">
        <v>494</v>
      </c>
      <c r="D59" s="13" t="s">
        <v>344</v>
      </c>
      <c r="E59" s="16" t="s">
        <v>495</v>
      </c>
      <c r="F59" s="16">
        <v>-0.0163</v>
      </c>
      <c r="G59" s="16">
        <v>0.0246</v>
      </c>
      <c r="H59" s="16">
        <v>0.0418</v>
      </c>
      <c r="I59" s="27">
        <v>0.1143</v>
      </c>
      <c r="J59" s="16">
        <v>0.0512</v>
      </c>
      <c r="K59" s="16">
        <v>0.0845</v>
      </c>
      <c r="L59" s="16">
        <v>0.0715</v>
      </c>
      <c r="M59" s="29">
        <v>1.3191</v>
      </c>
    </row>
    <row r="60" ht="15.6" customHeight="1" spans="1:13">
      <c r="A60" s="12" t="s">
        <v>496</v>
      </c>
      <c r="B60" s="13" t="s">
        <v>54</v>
      </c>
      <c r="C60" s="13" t="s">
        <v>497</v>
      </c>
      <c r="D60" s="13" t="s">
        <v>344</v>
      </c>
      <c r="E60" s="16" t="s">
        <v>498</v>
      </c>
      <c r="F60" s="16">
        <v>-0.0176</v>
      </c>
      <c r="G60" s="16">
        <v>0.008</v>
      </c>
      <c r="H60" s="16">
        <v>0.0369</v>
      </c>
      <c r="I60" s="27">
        <v>0.1452</v>
      </c>
      <c r="J60" s="16">
        <v>0.0374</v>
      </c>
      <c r="K60" s="16">
        <v>0.0508</v>
      </c>
      <c r="L60" s="16">
        <v>0.0555</v>
      </c>
      <c r="M60" s="29">
        <v>2.2546</v>
      </c>
    </row>
    <row r="61" ht="15.6" customHeight="1" spans="1:13">
      <c r="A61" s="12" t="s">
        <v>334</v>
      </c>
      <c r="B61" s="13" t="s">
        <v>61</v>
      </c>
      <c r="C61" s="13" t="s">
        <v>499</v>
      </c>
      <c r="D61" s="13" t="s">
        <v>344</v>
      </c>
      <c r="E61" s="16" t="s">
        <v>500</v>
      </c>
      <c r="F61" s="16">
        <v>-0.019</v>
      </c>
      <c r="G61" s="16">
        <v>0.0238</v>
      </c>
      <c r="H61" s="16">
        <v>0.0178</v>
      </c>
      <c r="I61" s="27">
        <v>0.1414</v>
      </c>
      <c r="J61" s="16">
        <v>0.0433</v>
      </c>
      <c r="K61" s="16">
        <v>0.069</v>
      </c>
      <c r="L61" s="16">
        <v>0.0776</v>
      </c>
      <c r="M61" s="29">
        <v>1.5652</v>
      </c>
    </row>
    <row r="62" ht="15.6" customHeight="1" spans="1:13">
      <c r="A62" s="12" t="s">
        <v>501</v>
      </c>
      <c r="B62" s="13" t="s">
        <v>61</v>
      </c>
      <c r="C62" s="13" t="s">
        <v>502</v>
      </c>
      <c r="D62" s="13" t="s">
        <v>344</v>
      </c>
      <c r="E62" s="16" t="s">
        <v>503</v>
      </c>
      <c r="F62" s="16">
        <v>-0.0194</v>
      </c>
      <c r="G62" s="16">
        <v>0.2129</v>
      </c>
      <c r="H62" s="16">
        <v>0.1916</v>
      </c>
      <c r="I62" s="27">
        <v>0.5151</v>
      </c>
      <c r="J62" s="16">
        <v>0.0579</v>
      </c>
      <c r="K62" s="16">
        <v>0.0579</v>
      </c>
      <c r="L62" s="16">
        <v>0.2343</v>
      </c>
      <c r="M62" s="29">
        <v>2.1135</v>
      </c>
    </row>
    <row r="63" ht="15.6" customHeight="1" spans="1:13">
      <c r="A63" s="12" t="s">
        <v>504</v>
      </c>
      <c r="B63" s="13" t="s">
        <v>156</v>
      </c>
      <c r="C63" s="13" t="s">
        <v>505</v>
      </c>
      <c r="D63" s="13" t="s">
        <v>344</v>
      </c>
      <c r="E63" s="16" t="s">
        <v>506</v>
      </c>
      <c r="F63" s="16">
        <v>-0.0198</v>
      </c>
      <c r="G63" s="16">
        <v>0.0321</v>
      </c>
      <c r="H63" s="16">
        <v>0.051</v>
      </c>
      <c r="I63" s="27">
        <v>0.1669</v>
      </c>
      <c r="J63" s="16">
        <v>0.023</v>
      </c>
      <c r="K63" s="16">
        <v>0.1151</v>
      </c>
      <c r="L63" s="16">
        <v>0.0844</v>
      </c>
      <c r="M63" s="29">
        <v>1.7417</v>
      </c>
    </row>
    <row r="64" ht="15.6" customHeight="1" spans="1:13">
      <c r="A64" s="12" t="s">
        <v>507</v>
      </c>
      <c r="B64" s="13" t="s">
        <v>30</v>
      </c>
      <c r="C64" s="13" t="s">
        <v>508</v>
      </c>
      <c r="D64" s="13" t="s">
        <v>344</v>
      </c>
      <c r="E64" s="16" t="s">
        <v>509</v>
      </c>
      <c r="F64" s="16">
        <v>-0.0211</v>
      </c>
      <c r="G64" s="16">
        <v>-0.0226</v>
      </c>
      <c r="H64" s="16">
        <v>-0.0754</v>
      </c>
      <c r="I64" s="27">
        <v>-0.0818</v>
      </c>
      <c r="J64" s="16">
        <v>0.0754</v>
      </c>
      <c r="K64" s="16">
        <v>0.1849</v>
      </c>
      <c r="L64" s="16">
        <v>0.0976</v>
      </c>
      <c r="M64" s="29">
        <v>-1.0432</v>
      </c>
    </row>
    <row r="65" ht="15.6" customHeight="1" spans="1:13">
      <c r="A65" s="12" t="s">
        <v>510</v>
      </c>
      <c r="B65" s="13" t="s">
        <v>38</v>
      </c>
      <c r="C65" s="13" t="s">
        <v>511</v>
      </c>
      <c r="D65" s="13" t="s">
        <v>344</v>
      </c>
      <c r="E65" s="16" t="s">
        <v>512</v>
      </c>
      <c r="F65" s="16">
        <v>-0.0227</v>
      </c>
      <c r="G65" s="16">
        <v>-0.1023</v>
      </c>
      <c r="H65" s="16"/>
      <c r="I65" s="27">
        <v>-0.1758</v>
      </c>
      <c r="J65" s="16"/>
      <c r="K65" s="16">
        <v>0.1232</v>
      </c>
      <c r="L65" s="16">
        <v>0.1324</v>
      </c>
      <c r="M65" s="29">
        <v>-1.479</v>
      </c>
    </row>
    <row r="66" ht="15.6" customHeight="1" spans="1:13">
      <c r="A66" s="12" t="s">
        <v>513</v>
      </c>
      <c r="B66" s="13" t="s">
        <v>156</v>
      </c>
      <c r="C66" s="13" t="s">
        <v>514</v>
      </c>
      <c r="D66" s="13" t="s">
        <v>344</v>
      </c>
      <c r="E66" s="16" t="s">
        <v>515</v>
      </c>
      <c r="F66" s="16">
        <v>-0.0246</v>
      </c>
      <c r="G66" s="16">
        <v>0.0358</v>
      </c>
      <c r="H66" s="16">
        <v>0.0359</v>
      </c>
      <c r="I66" s="27">
        <v>0.1293</v>
      </c>
      <c r="J66" s="16">
        <v>0.0438</v>
      </c>
      <c r="K66" s="16">
        <v>0.0473</v>
      </c>
      <c r="L66" s="16">
        <v>0.0614</v>
      </c>
      <c r="M66" s="29">
        <v>1.7807</v>
      </c>
    </row>
    <row r="67" ht="15.6" customHeight="1" spans="1:13">
      <c r="A67" s="12" t="s">
        <v>516</v>
      </c>
      <c r="B67" s="13" t="s">
        <v>30</v>
      </c>
      <c r="C67" s="13" t="s">
        <v>517</v>
      </c>
      <c r="D67" s="13" t="s">
        <v>344</v>
      </c>
      <c r="E67" s="16" t="s">
        <v>518</v>
      </c>
      <c r="F67" s="16">
        <v>-0.0249</v>
      </c>
      <c r="G67" s="16">
        <v>0.1861</v>
      </c>
      <c r="H67" s="16">
        <v>-0.0004</v>
      </c>
      <c r="I67" s="27">
        <v>-0.1944</v>
      </c>
      <c r="J67" s="16">
        <v>0.2299</v>
      </c>
      <c r="K67" s="16">
        <v>0.5227</v>
      </c>
      <c r="L67" s="16">
        <v>0.389</v>
      </c>
      <c r="M67" s="29">
        <v>-0.5512</v>
      </c>
    </row>
    <row r="68" ht="15.6" customHeight="1" spans="1:13">
      <c r="A68" s="12" t="s">
        <v>519</v>
      </c>
      <c r="B68" s="13" t="s">
        <v>30</v>
      </c>
      <c r="C68" s="13" t="s">
        <v>520</v>
      </c>
      <c r="D68" s="13" t="s">
        <v>344</v>
      </c>
      <c r="E68" s="16" t="s">
        <v>521</v>
      </c>
      <c r="F68" s="16">
        <v>-0.0302</v>
      </c>
      <c r="G68" s="16">
        <v>-0.0491</v>
      </c>
      <c r="H68" s="16">
        <v>-0.079</v>
      </c>
      <c r="I68" s="27">
        <v>0.0421</v>
      </c>
      <c r="J68" s="16">
        <v>0.0833</v>
      </c>
      <c r="K68" s="16">
        <v>0.1139</v>
      </c>
      <c r="L68" s="16">
        <v>0.1113</v>
      </c>
      <c r="M68" s="29">
        <v>0.1983</v>
      </c>
    </row>
    <row r="69" ht="15.6" customHeight="1" spans="1:13">
      <c r="A69" s="12" t="s">
        <v>522</v>
      </c>
      <c r="B69" s="13" t="s">
        <v>54</v>
      </c>
      <c r="C69" s="13" t="s">
        <v>523</v>
      </c>
      <c r="D69" s="13" t="s">
        <v>344</v>
      </c>
      <c r="E69" s="16" t="s">
        <v>524</v>
      </c>
      <c r="F69" s="16">
        <v>-0.0312</v>
      </c>
      <c r="G69" s="16">
        <v>0.1003</v>
      </c>
      <c r="H69" s="16">
        <v>0.0906</v>
      </c>
      <c r="I69" s="27">
        <v>0.175</v>
      </c>
      <c r="J69" s="16">
        <v>0.0416</v>
      </c>
      <c r="K69" s="16">
        <v>0.2731</v>
      </c>
      <c r="L69" s="16">
        <v>0.1789</v>
      </c>
      <c r="M69" s="29">
        <v>0.8668</v>
      </c>
    </row>
    <row r="70" ht="15.6" customHeight="1" spans="1:13">
      <c r="A70" s="12" t="s">
        <v>525</v>
      </c>
      <c r="B70" s="13" t="s">
        <v>38</v>
      </c>
      <c r="C70" s="13" t="s">
        <v>526</v>
      </c>
      <c r="D70" s="13" t="s">
        <v>344</v>
      </c>
      <c r="E70" s="16" t="s">
        <v>527</v>
      </c>
      <c r="F70" s="16">
        <v>-0.0371</v>
      </c>
      <c r="G70" s="16">
        <v>0.0883</v>
      </c>
      <c r="H70" s="16">
        <v>0.0395</v>
      </c>
      <c r="I70" s="27">
        <v>0.1515</v>
      </c>
      <c r="J70" s="16">
        <v>0.0448</v>
      </c>
      <c r="K70" s="16">
        <v>0.1028</v>
      </c>
      <c r="L70" s="16">
        <v>0.0912</v>
      </c>
      <c r="M70" s="29">
        <v>1.4409</v>
      </c>
    </row>
    <row r="71" ht="15.6" customHeight="1" spans="1:13">
      <c r="A71" s="12" t="s">
        <v>528</v>
      </c>
      <c r="B71" s="13" t="s">
        <v>30</v>
      </c>
      <c r="C71" s="13" t="s">
        <v>529</v>
      </c>
      <c r="D71" s="13" t="s">
        <v>344</v>
      </c>
      <c r="E71" s="16" t="s">
        <v>530</v>
      </c>
      <c r="F71" s="16">
        <v>-0.0404</v>
      </c>
      <c r="G71" s="16">
        <v>-0.0275</v>
      </c>
      <c r="H71" s="16">
        <v>0</v>
      </c>
      <c r="I71" s="27">
        <v>-0.0595</v>
      </c>
      <c r="J71" s="16">
        <v>0.0934</v>
      </c>
      <c r="K71" s="16">
        <v>0.2948</v>
      </c>
      <c r="L71" s="16">
        <v>0.1492</v>
      </c>
      <c r="M71" s="29">
        <v>-0.5327</v>
      </c>
    </row>
    <row r="72" ht="15.6" customHeight="1" spans="1:13">
      <c r="A72" s="12" t="s">
        <v>340</v>
      </c>
      <c r="B72" s="13" t="s">
        <v>54</v>
      </c>
      <c r="C72" s="13" t="s">
        <v>531</v>
      </c>
      <c r="D72" s="13" t="s">
        <v>344</v>
      </c>
      <c r="E72" s="16" t="s">
        <v>532</v>
      </c>
      <c r="F72" s="16">
        <v>-0.0653</v>
      </c>
      <c r="G72" s="16">
        <v>0.0684</v>
      </c>
      <c r="H72" s="16">
        <v>0.0434</v>
      </c>
      <c r="I72" s="27">
        <v>0.1634</v>
      </c>
      <c r="J72" s="16">
        <v>0.1153</v>
      </c>
      <c r="K72" s="16">
        <v>0.1193</v>
      </c>
      <c r="L72" s="16">
        <v>0.1298</v>
      </c>
      <c r="M72" s="29">
        <v>1.1047</v>
      </c>
    </row>
    <row r="73" ht="15.6" customHeight="1" spans="1:13">
      <c r="A73" s="12"/>
      <c r="B73" s="13"/>
      <c r="C73" s="13"/>
      <c r="D73" s="13"/>
      <c r="E73" s="16"/>
      <c r="F73" s="16"/>
      <c r="G73" s="16"/>
      <c r="H73" s="16"/>
      <c r="I73" s="29"/>
      <c r="J73" s="16"/>
      <c r="K73" s="16"/>
      <c r="L73" s="16"/>
      <c r="M73" s="29"/>
    </row>
    <row r="74" ht="15.6" customHeight="1" spans="1:13">
      <c r="A74" s="12"/>
      <c r="B74" s="13"/>
      <c r="C74" s="13"/>
      <c r="D74" s="13"/>
      <c r="E74" s="16"/>
      <c r="F74" s="16"/>
      <c r="G74" s="16"/>
      <c r="H74" s="16"/>
      <c r="I74" s="29"/>
      <c r="J74" s="16"/>
      <c r="K74" s="16"/>
      <c r="L74" s="16"/>
      <c r="M74" s="29"/>
    </row>
    <row r="75" ht="15.6" customHeight="1" spans="1:13">
      <c r="A75" s="12"/>
      <c r="B75" s="13"/>
      <c r="C75" s="13"/>
      <c r="D75" s="13"/>
      <c r="E75" s="16"/>
      <c r="F75" s="16"/>
      <c r="G75" s="16"/>
      <c r="H75" s="16"/>
      <c r="I75" s="29"/>
      <c r="J75" s="16"/>
      <c r="K75" s="16"/>
      <c r="L75" s="16"/>
      <c r="M75" s="29"/>
    </row>
    <row r="76" ht="15.6" customHeight="1" spans="1:13">
      <c r="A76" s="12"/>
      <c r="B76" s="13"/>
      <c r="C76" s="13"/>
      <c r="D76" s="13"/>
      <c r="E76" s="16"/>
      <c r="F76" s="16"/>
      <c r="G76" s="16"/>
      <c r="H76" s="16"/>
      <c r="I76" s="29"/>
      <c r="J76" s="16"/>
      <c r="K76" s="16"/>
      <c r="L76" s="16"/>
      <c r="M76" s="29"/>
    </row>
    <row r="77" ht="15.6" customHeight="1" spans="1:13">
      <c r="A77" s="12"/>
      <c r="B77" s="13"/>
      <c r="C77" s="13"/>
      <c r="D77" s="13"/>
      <c r="E77" s="16"/>
      <c r="F77" s="16"/>
      <c r="G77" s="16"/>
      <c r="H77" s="16"/>
      <c r="I77" s="29"/>
      <c r="J77" s="16"/>
      <c r="K77" s="16"/>
      <c r="L77" s="16"/>
      <c r="M77" s="29"/>
    </row>
    <row r="78" ht="15.6" customHeight="1" spans="1:13">
      <c r="A78" s="12"/>
      <c r="B78" s="13"/>
      <c r="C78" s="13"/>
      <c r="D78" s="13"/>
      <c r="E78" s="16"/>
      <c r="F78" s="16"/>
      <c r="G78" s="16"/>
      <c r="H78" s="16"/>
      <c r="I78" s="29"/>
      <c r="J78" s="16"/>
      <c r="K78" s="16"/>
      <c r="L78" s="16"/>
      <c r="M78" s="29"/>
    </row>
    <row r="79" ht="15.6" customHeight="1" spans="1:13">
      <c r="A79" s="12"/>
      <c r="B79" s="13"/>
      <c r="C79" s="13"/>
      <c r="D79" s="13"/>
      <c r="E79" s="16"/>
      <c r="F79" s="16"/>
      <c r="G79" s="16"/>
      <c r="H79" s="16"/>
      <c r="I79" s="29"/>
      <c r="J79" s="16"/>
      <c r="K79" s="16"/>
      <c r="L79" s="16"/>
      <c r="M79" s="29"/>
    </row>
    <row r="80" ht="15.6" customHeight="1" spans="1:13">
      <c r="A80" s="12"/>
      <c r="B80" s="13"/>
      <c r="C80" s="13"/>
      <c r="D80" s="13"/>
      <c r="E80" s="16"/>
      <c r="F80" s="16"/>
      <c r="G80" s="16"/>
      <c r="H80" s="16"/>
      <c r="I80" s="29"/>
      <c r="J80" s="16"/>
      <c r="K80" s="16"/>
      <c r="L80" s="16"/>
      <c r="M80" s="29"/>
    </row>
    <row r="81" ht="15.6" customHeight="1" spans="1:13">
      <c r="A81" s="12"/>
      <c r="B81" s="13"/>
      <c r="C81" s="13"/>
      <c r="D81" s="13"/>
      <c r="E81" s="16"/>
      <c r="F81" s="16"/>
      <c r="G81" s="16"/>
      <c r="H81" s="16"/>
      <c r="I81" s="29"/>
      <c r="J81" s="16"/>
      <c r="K81" s="16"/>
      <c r="L81" s="16"/>
      <c r="M81" s="29"/>
    </row>
    <row r="82" ht="15.6" customHeight="1" spans="1:13">
      <c r="A82" s="12"/>
      <c r="B82" s="13"/>
      <c r="C82" s="13"/>
      <c r="D82" s="13"/>
      <c r="E82" s="16"/>
      <c r="F82" s="16"/>
      <c r="G82" s="16"/>
      <c r="H82" s="16"/>
      <c r="I82" s="29"/>
      <c r="J82" s="16"/>
      <c r="K82" s="16"/>
      <c r="L82" s="16"/>
      <c r="M82" s="29"/>
    </row>
    <row r="83" ht="15.6" customHeight="1" spans="1:13">
      <c r="A83" s="12"/>
      <c r="B83" s="13"/>
      <c r="C83" s="13"/>
      <c r="D83" s="13"/>
      <c r="E83" s="16"/>
      <c r="F83" s="16"/>
      <c r="G83" s="16"/>
      <c r="H83" s="16"/>
      <c r="I83" s="29"/>
      <c r="J83" s="16"/>
      <c r="K83" s="16"/>
      <c r="L83" s="16"/>
      <c r="M83" s="29"/>
    </row>
    <row r="84" ht="15.6" customHeight="1" spans="1:13">
      <c r="A84" s="12"/>
      <c r="B84" s="13"/>
      <c r="C84" s="13"/>
      <c r="D84" s="13"/>
      <c r="E84" s="16"/>
      <c r="F84" s="16"/>
      <c r="G84" s="16"/>
      <c r="H84" s="16"/>
      <c r="I84" s="29"/>
      <c r="J84" s="16"/>
      <c r="K84" s="16"/>
      <c r="L84" s="16"/>
      <c r="M84" s="29"/>
    </row>
    <row r="85" ht="15.6" customHeight="1" spans="1:13">
      <c r="A85" s="12"/>
      <c r="B85" s="13"/>
      <c r="C85" s="13"/>
      <c r="D85" s="13"/>
      <c r="E85" s="16"/>
      <c r="F85" s="16"/>
      <c r="G85" s="16"/>
      <c r="H85" s="16"/>
      <c r="I85" s="29"/>
      <c r="J85" s="16"/>
      <c r="K85" s="16"/>
      <c r="L85" s="16"/>
      <c r="M85" s="29"/>
    </row>
    <row r="86" ht="15.6" customHeight="1" spans="1:13">
      <c r="A86" s="12"/>
      <c r="B86" s="13"/>
      <c r="C86" s="13"/>
      <c r="D86" s="13"/>
      <c r="E86" s="16"/>
      <c r="F86" s="16"/>
      <c r="G86" s="16"/>
      <c r="H86" s="16"/>
      <c r="I86" s="29"/>
      <c r="J86" s="16"/>
      <c r="K86" s="16"/>
      <c r="L86" s="16"/>
      <c r="M86" s="29"/>
    </row>
    <row r="87" ht="15.6" customHeight="1" spans="1:13">
      <c r="A87" s="12"/>
      <c r="B87" s="13"/>
      <c r="C87" s="13"/>
      <c r="D87" s="13"/>
      <c r="E87" s="16"/>
      <c r="F87" s="16"/>
      <c r="G87" s="16"/>
      <c r="H87" s="16"/>
      <c r="I87" s="29"/>
      <c r="J87" s="16"/>
      <c r="K87" s="16"/>
      <c r="L87" s="16"/>
      <c r="M87" s="29"/>
    </row>
    <row r="88" ht="15.6" customHeight="1" spans="1:13">
      <c r="A88" s="12"/>
      <c r="B88" s="13"/>
      <c r="C88" s="13"/>
      <c r="D88" s="13"/>
      <c r="E88" s="16"/>
      <c r="F88" s="16"/>
      <c r="G88" s="16"/>
      <c r="H88" s="16"/>
      <c r="I88" s="29"/>
      <c r="J88" s="16"/>
      <c r="K88" s="16"/>
      <c r="L88" s="16"/>
      <c r="M88" s="29"/>
    </row>
    <row r="89" ht="15.6" customHeight="1" spans="1:13">
      <c r="A89" s="12"/>
      <c r="B89" s="13"/>
      <c r="C89" s="13"/>
      <c r="D89" s="13"/>
      <c r="E89" s="16"/>
      <c r="F89" s="16"/>
      <c r="G89" s="16"/>
      <c r="H89" s="16"/>
      <c r="I89" s="29"/>
      <c r="J89" s="16"/>
      <c r="K89" s="16"/>
      <c r="L89" s="16"/>
      <c r="M89" s="29"/>
    </row>
    <row r="90" ht="15.6" customHeight="1" spans="1:13">
      <c r="A90" s="12"/>
      <c r="B90" s="13"/>
      <c r="C90" s="13"/>
      <c r="D90" s="13"/>
      <c r="E90" s="16"/>
      <c r="F90" s="16"/>
      <c r="G90" s="16"/>
      <c r="H90" s="16"/>
      <c r="I90" s="29"/>
      <c r="J90" s="16"/>
      <c r="K90" s="16"/>
      <c r="L90" s="16"/>
      <c r="M90" s="29"/>
    </row>
    <row r="91" ht="15.6" customHeight="1" spans="1:13">
      <c r="A91" s="12"/>
      <c r="B91" s="13"/>
      <c r="C91" s="13"/>
      <c r="D91" s="13"/>
      <c r="E91" s="16"/>
      <c r="F91" s="16"/>
      <c r="G91" s="16"/>
      <c r="H91" s="16"/>
      <c r="I91" s="29"/>
      <c r="J91" s="16"/>
      <c r="K91" s="16"/>
      <c r="L91" s="16"/>
      <c r="M91" s="29"/>
    </row>
    <row r="92" ht="15.6" customHeight="1" spans="1:13">
      <c r="A92" s="12"/>
      <c r="B92" s="13"/>
      <c r="C92" s="13"/>
      <c r="D92" s="13"/>
      <c r="E92" s="16"/>
      <c r="F92" s="16"/>
      <c r="G92" s="16"/>
      <c r="H92" s="16"/>
      <c r="I92" s="29"/>
      <c r="J92" s="16"/>
      <c r="K92" s="16"/>
      <c r="L92" s="16"/>
      <c r="M92" s="29"/>
    </row>
    <row r="93" ht="15.6" customHeight="1" spans="1:13">
      <c r="A93" s="12"/>
      <c r="B93" s="13"/>
      <c r="C93" s="13"/>
      <c r="D93" s="13"/>
      <c r="E93" s="16"/>
      <c r="F93" s="16"/>
      <c r="G93" s="16"/>
      <c r="H93" s="16"/>
      <c r="I93" s="29"/>
      <c r="J93" s="16"/>
      <c r="K93" s="16"/>
      <c r="L93" s="16"/>
      <c r="M93" s="29"/>
    </row>
    <row r="94" ht="15.6" customHeight="1" spans="1:13">
      <c r="A94" s="12"/>
      <c r="B94" s="13"/>
      <c r="C94" s="13"/>
      <c r="D94" s="13"/>
      <c r="E94" s="16"/>
      <c r="F94" s="16"/>
      <c r="G94" s="16"/>
      <c r="H94" s="16"/>
      <c r="I94" s="29"/>
      <c r="J94" s="16"/>
      <c r="K94" s="16"/>
      <c r="L94" s="16"/>
      <c r="M94" s="29"/>
    </row>
    <row r="95" ht="15.6" customHeight="1" spans="1:13">
      <c r="A95" s="12"/>
      <c r="B95" s="13"/>
      <c r="C95" s="13"/>
      <c r="D95" s="13"/>
      <c r="E95" s="16"/>
      <c r="F95" s="16"/>
      <c r="G95" s="16"/>
      <c r="H95" s="16"/>
      <c r="I95" s="29"/>
      <c r="J95" s="16"/>
      <c r="K95" s="16"/>
      <c r="L95" s="16"/>
      <c r="M95" s="29"/>
    </row>
    <row r="96" ht="15.6" customHeight="1" spans="1:13">
      <c r="A96" s="12"/>
      <c r="B96" s="13"/>
      <c r="C96" s="13"/>
      <c r="D96" s="13"/>
      <c r="E96" s="16"/>
      <c r="F96" s="16"/>
      <c r="G96" s="16"/>
      <c r="H96" s="16"/>
      <c r="I96" s="29"/>
      <c r="J96" s="16"/>
      <c r="K96" s="16"/>
      <c r="L96" s="16"/>
      <c r="M96" s="29"/>
    </row>
    <row r="97" ht="15.6" customHeight="1" spans="1:13">
      <c r="A97" s="12"/>
      <c r="B97" s="13"/>
      <c r="C97" s="13"/>
      <c r="D97" s="13"/>
      <c r="E97" s="16"/>
      <c r="F97" s="16"/>
      <c r="G97" s="16"/>
      <c r="H97" s="16"/>
      <c r="I97" s="29"/>
      <c r="J97" s="16"/>
      <c r="K97" s="16"/>
      <c r="L97" s="16"/>
      <c r="M97" s="29"/>
    </row>
    <row r="98" ht="15.6" customHeight="1" spans="1:13">
      <c r="A98" s="12"/>
      <c r="B98" s="13"/>
      <c r="C98" s="13"/>
      <c r="D98" s="13"/>
      <c r="E98" s="16"/>
      <c r="F98" s="16"/>
      <c r="G98" s="16"/>
      <c r="H98" s="16"/>
      <c r="I98" s="29"/>
      <c r="J98" s="16"/>
      <c r="K98" s="16"/>
      <c r="L98" s="16"/>
      <c r="M98" s="29"/>
    </row>
    <row r="99" ht="15.6" customHeight="1" spans="1:13">
      <c r="A99" s="12"/>
      <c r="B99" s="13"/>
      <c r="C99" s="13"/>
      <c r="D99" s="13"/>
      <c r="E99" s="16"/>
      <c r="F99" s="16"/>
      <c r="G99" s="16"/>
      <c r="H99" s="16"/>
      <c r="I99" s="29"/>
      <c r="J99" s="16"/>
      <c r="K99" s="16"/>
      <c r="L99" s="16"/>
      <c r="M99" s="29"/>
    </row>
    <row r="100" ht="15.6" customHeight="1" spans="1:13">
      <c r="A100" s="12"/>
      <c r="B100" s="13"/>
      <c r="C100" s="13"/>
      <c r="D100" s="13"/>
      <c r="E100" s="16"/>
      <c r="F100" s="16"/>
      <c r="G100" s="16"/>
      <c r="H100" s="16"/>
      <c r="I100" s="29"/>
      <c r="J100" s="16"/>
      <c r="K100" s="16"/>
      <c r="L100" s="16"/>
      <c r="M100" s="29"/>
    </row>
  </sheetData>
  <mergeCells count="4">
    <mergeCell ref="A1:B1"/>
    <mergeCell ref="C1:E1"/>
    <mergeCell ref="F1:I1"/>
    <mergeCell ref="J1:K1"/>
  </mergeCells>
  <conditionalFormatting sqref="A3:E100 J3:M100">
    <cfRule type="expression" dxfId="0" priority="2">
      <formula>MOD(ROW(),2)=0</formula>
    </cfRule>
  </conditionalFormatting>
  <conditionalFormatting sqref="F3:I100">
    <cfRule type="expression" dxfId="0" priority="1">
      <formula>MOD(ROW(),2)=0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W100"/>
  <sheetViews>
    <sheetView workbookViewId="0">
      <pane ySplit="2" topLeftCell="A3" activePane="bottomLeft" state="frozen"/>
      <selection/>
      <selection pane="bottomLeft" activeCell="P10" sqref="P10"/>
    </sheetView>
  </sheetViews>
  <sheetFormatPr defaultColWidth="9" defaultRowHeight="14.4"/>
  <cols>
    <col min="2" max="2" width="14.2222222222222" customWidth="1"/>
    <col min="3" max="3" width="29" customWidth="1"/>
    <col min="14" max="16" width="9.44444444444444" customWidth="1"/>
  </cols>
  <sheetData>
    <row r="1" ht="31.2" customHeight="1" spans="1:23">
      <c r="A1" s="1" t="s">
        <v>0</v>
      </c>
      <c r="B1" s="2"/>
      <c r="C1" s="3" t="s">
        <v>1</v>
      </c>
      <c r="D1" s="4"/>
      <c r="E1" s="5"/>
      <c r="F1" s="6" t="s">
        <v>2</v>
      </c>
      <c r="G1" s="7"/>
      <c r="H1" s="7"/>
      <c r="I1" s="2"/>
      <c r="J1" s="17" t="s">
        <v>3</v>
      </c>
      <c r="K1" s="2"/>
      <c r="L1" s="18" t="s">
        <v>4</v>
      </c>
      <c r="M1" s="19" t="s">
        <v>5</v>
      </c>
      <c r="N1" s="20" t="s">
        <v>6</v>
      </c>
      <c r="O1" s="21" t="s">
        <v>7</v>
      </c>
      <c r="P1" s="21" t="s">
        <v>8</v>
      </c>
      <c r="Q1" s="21" t="s">
        <v>9</v>
      </c>
      <c r="R1" s="30" t="s">
        <v>10</v>
      </c>
      <c r="S1" s="31" t="s">
        <v>11</v>
      </c>
      <c r="T1" s="32" t="s">
        <v>12</v>
      </c>
      <c r="U1" s="32" t="s">
        <v>13</v>
      </c>
      <c r="V1" s="32" t="s">
        <v>14</v>
      </c>
      <c r="W1" s="33" t="s">
        <v>15</v>
      </c>
    </row>
    <row r="2" ht="47.55" customHeight="1" spans="1:23">
      <c r="A2" s="8" t="s">
        <v>16</v>
      </c>
      <c r="B2" s="9" t="s">
        <v>17</v>
      </c>
      <c r="C2" s="10" t="s">
        <v>18</v>
      </c>
      <c r="D2" s="10" t="s">
        <v>19</v>
      </c>
      <c r="E2" s="10" t="s">
        <v>20</v>
      </c>
      <c r="F2" s="11" t="s">
        <v>270</v>
      </c>
      <c r="G2" s="11" t="s">
        <v>271</v>
      </c>
      <c r="H2" s="11" t="s">
        <v>272</v>
      </c>
      <c r="I2" s="11" t="s">
        <v>273</v>
      </c>
      <c r="J2" s="22" t="s">
        <v>274</v>
      </c>
      <c r="K2" s="22" t="s">
        <v>275</v>
      </c>
      <c r="L2" s="23" t="s">
        <v>276</v>
      </c>
      <c r="M2" s="24" t="s">
        <v>277</v>
      </c>
      <c r="N2" s="25">
        <f>QUARTILE(F3:F200,4)</f>
        <v>0.0391</v>
      </c>
      <c r="O2" s="26">
        <f>QUARTILE(F3:F200,3)</f>
        <v>0.01735</v>
      </c>
      <c r="P2" s="26">
        <f>QUARTILE(F3:F200,2)</f>
        <v>0.00655</v>
      </c>
      <c r="Q2" s="26">
        <f>QUARTILE(F3:F200,1)</f>
        <v>-0.004975</v>
      </c>
      <c r="R2" s="34">
        <f>QUARTILE(F3:F200,0)</f>
        <v>-0.0776</v>
      </c>
      <c r="S2" s="25">
        <f>QUARTILE(H3:H200,4)</f>
        <v>0.2298</v>
      </c>
      <c r="T2" s="26">
        <f>QUARTILE(H3:H200,3)</f>
        <v>0.08715</v>
      </c>
      <c r="U2" s="26">
        <f>QUARTILE(H3:H200,2)</f>
        <v>0.0501</v>
      </c>
      <c r="V2" s="26">
        <f>QUARTILE(H3:H200,1)</f>
        <v>0.00565</v>
      </c>
      <c r="W2" s="34">
        <f>QUARTILE(H3:H200,0)</f>
        <v>-0.1004</v>
      </c>
    </row>
    <row r="3" ht="15.6" customHeight="1" spans="1:13">
      <c r="A3" s="12" t="s">
        <v>533</v>
      </c>
      <c r="B3" s="13" t="s">
        <v>61</v>
      </c>
      <c r="C3" s="14" t="s">
        <v>534</v>
      </c>
      <c r="D3" s="14" t="s">
        <v>535</v>
      </c>
      <c r="E3" s="15" t="s">
        <v>536</v>
      </c>
      <c r="F3" s="16">
        <v>0.0391</v>
      </c>
      <c r="G3" s="16">
        <v>0</v>
      </c>
      <c r="H3" s="16">
        <v>0.0117</v>
      </c>
      <c r="I3" s="27">
        <v>0.0234</v>
      </c>
      <c r="J3" s="16">
        <v>0.0523</v>
      </c>
      <c r="K3" s="16">
        <v>0.0523</v>
      </c>
      <c r="L3" s="16">
        <v>0.0834</v>
      </c>
      <c r="M3" s="29">
        <v>0.0412</v>
      </c>
    </row>
    <row r="4" ht="15.6" customHeight="1" spans="1:13">
      <c r="A4" s="12" t="s">
        <v>533</v>
      </c>
      <c r="B4" s="13" t="s">
        <v>61</v>
      </c>
      <c r="C4" s="13" t="s">
        <v>537</v>
      </c>
      <c r="D4" s="13" t="s">
        <v>535</v>
      </c>
      <c r="E4" s="16" t="s">
        <v>536</v>
      </c>
      <c r="F4" s="16">
        <v>0.039</v>
      </c>
      <c r="G4" s="16">
        <v>0.0039</v>
      </c>
      <c r="H4" s="16">
        <v>0.017</v>
      </c>
      <c r="I4" s="27">
        <v>0.3203</v>
      </c>
      <c r="J4" s="16">
        <v>0.0505</v>
      </c>
      <c r="K4" s="16">
        <v>0.4128</v>
      </c>
      <c r="L4" s="16">
        <v>1.2483</v>
      </c>
      <c r="M4" s="29">
        <v>0.2406</v>
      </c>
    </row>
    <row r="5" ht="15.6" customHeight="1" spans="1:13">
      <c r="A5" s="12" t="s">
        <v>538</v>
      </c>
      <c r="B5" s="13" t="s">
        <v>61</v>
      </c>
      <c r="C5" s="13" t="s">
        <v>539</v>
      </c>
      <c r="D5" s="13" t="s">
        <v>535</v>
      </c>
      <c r="E5" s="16" t="s">
        <v>540</v>
      </c>
      <c r="F5" s="16">
        <v>0.0389</v>
      </c>
      <c r="G5" s="16">
        <v>-0.0167</v>
      </c>
      <c r="H5" s="16">
        <v>0.0311</v>
      </c>
      <c r="I5" s="27">
        <v>0.1325</v>
      </c>
      <c r="J5" s="16">
        <v>0.0647</v>
      </c>
      <c r="K5" s="16">
        <v>0.0647</v>
      </c>
      <c r="L5" s="16">
        <v>0.0846</v>
      </c>
      <c r="M5" s="29">
        <v>1.3294</v>
      </c>
    </row>
    <row r="6" ht="15.6" customHeight="1" spans="1:13">
      <c r="A6" s="12" t="s">
        <v>541</v>
      </c>
      <c r="B6" s="13" t="s">
        <v>217</v>
      </c>
      <c r="C6" s="13" t="s">
        <v>542</v>
      </c>
      <c r="D6" s="13" t="s">
        <v>535</v>
      </c>
      <c r="E6" s="16" t="s">
        <v>543</v>
      </c>
      <c r="F6" s="16">
        <v>0.0337</v>
      </c>
      <c r="G6" s="16">
        <v>-0.0434</v>
      </c>
      <c r="H6" s="16">
        <v>-0.012</v>
      </c>
      <c r="I6" s="27">
        <v>0.1392</v>
      </c>
      <c r="J6" s="16">
        <v>0.0772</v>
      </c>
      <c r="K6" s="16">
        <v>0.0962</v>
      </c>
      <c r="L6" s="16">
        <v>0.0893</v>
      </c>
      <c r="M6" s="29">
        <v>1.3345</v>
      </c>
    </row>
    <row r="7" ht="15.6" customHeight="1" spans="1:13">
      <c r="A7" s="12" t="s">
        <v>349</v>
      </c>
      <c r="B7" s="13" t="s">
        <v>156</v>
      </c>
      <c r="C7" s="13" t="s">
        <v>544</v>
      </c>
      <c r="D7" s="13" t="s">
        <v>535</v>
      </c>
      <c r="E7" s="16" t="s">
        <v>545</v>
      </c>
      <c r="F7" s="16">
        <v>0.0311</v>
      </c>
      <c r="G7" s="16">
        <v>0.0221</v>
      </c>
      <c r="H7" s="16">
        <v>0.0418</v>
      </c>
      <c r="I7" s="27">
        <v>0.0946</v>
      </c>
      <c r="J7" s="16">
        <v>0.0295</v>
      </c>
      <c r="K7" s="16">
        <v>0.0884</v>
      </c>
      <c r="L7" s="16">
        <v>0.0629</v>
      </c>
      <c r="M7" s="29">
        <v>1.1853</v>
      </c>
    </row>
    <row r="8" ht="15.6" customHeight="1" spans="1:13">
      <c r="A8" s="12" t="s">
        <v>546</v>
      </c>
      <c r="B8" s="13" t="s">
        <v>54</v>
      </c>
      <c r="C8" s="13" t="s">
        <v>547</v>
      </c>
      <c r="D8" s="13" t="s">
        <v>535</v>
      </c>
      <c r="E8" s="16" t="s">
        <v>548</v>
      </c>
      <c r="F8" s="16">
        <v>0.03</v>
      </c>
      <c r="G8" s="16">
        <v>-0.0469</v>
      </c>
      <c r="H8" s="16">
        <v>-0.0283</v>
      </c>
      <c r="I8" s="27">
        <v>0.1076</v>
      </c>
      <c r="J8" s="16">
        <v>0.0883</v>
      </c>
      <c r="K8" s="16">
        <v>0.0883</v>
      </c>
      <c r="L8" s="16">
        <v>0.0625</v>
      </c>
      <c r="M8" s="29">
        <v>1.4016</v>
      </c>
    </row>
    <row r="9" ht="15.6" customHeight="1" spans="1:13">
      <c r="A9" s="12" t="s">
        <v>285</v>
      </c>
      <c r="B9" s="13" t="s">
        <v>61</v>
      </c>
      <c r="C9" s="13" t="s">
        <v>549</v>
      </c>
      <c r="D9" s="13" t="s">
        <v>535</v>
      </c>
      <c r="E9" s="16" t="s">
        <v>550</v>
      </c>
      <c r="F9" s="16">
        <v>0.029</v>
      </c>
      <c r="G9" s="16">
        <v>0.0503</v>
      </c>
      <c r="H9" s="16">
        <v>0.1195</v>
      </c>
      <c r="I9" s="27">
        <v>0.1379</v>
      </c>
      <c r="J9" s="16">
        <v>0.0176</v>
      </c>
      <c r="K9" s="16">
        <v>0.1563</v>
      </c>
      <c r="L9" s="16">
        <v>0.1112</v>
      </c>
      <c r="M9" s="29">
        <v>1.0601</v>
      </c>
    </row>
    <row r="10" ht="15.6" customHeight="1" spans="1:13">
      <c r="A10" s="12" t="s">
        <v>391</v>
      </c>
      <c r="B10" s="13" t="s">
        <v>156</v>
      </c>
      <c r="C10" s="13" t="s">
        <v>551</v>
      </c>
      <c r="D10" s="13" t="s">
        <v>535</v>
      </c>
      <c r="E10" s="16" t="s">
        <v>552</v>
      </c>
      <c r="F10" s="16">
        <v>0.0288</v>
      </c>
      <c r="G10" s="16">
        <v>0.0401</v>
      </c>
      <c r="H10" s="16">
        <v>0.0889</v>
      </c>
      <c r="I10" s="27">
        <v>0.1114</v>
      </c>
      <c r="J10" s="16">
        <v>0.0262</v>
      </c>
      <c r="K10" s="16">
        <v>0.3116</v>
      </c>
      <c r="L10" s="16">
        <v>0.1389</v>
      </c>
      <c r="M10" s="29">
        <v>0.6577</v>
      </c>
    </row>
    <row r="11" ht="15.6" customHeight="1" spans="1:13">
      <c r="A11" s="12" t="s">
        <v>528</v>
      </c>
      <c r="B11" s="13" t="s">
        <v>30</v>
      </c>
      <c r="C11" s="13" t="s">
        <v>553</v>
      </c>
      <c r="D11" s="13" t="s">
        <v>535</v>
      </c>
      <c r="E11" s="16" t="s">
        <v>554</v>
      </c>
      <c r="F11" s="16">
        <v>0.0271</v>
      </c>
      <c r="G11" s="16">
        <v>-0.1102</v>
      </c>
      <c r="H11" s="16">
        <v>-0.0899</v>
      </c>
      <c r="I11" s="27">
        <v>-0.0525</v>
      </c>
      <c r="J11" s="16">
        <v>0.1337</v>
      </c>
      <c r="K11" s="16">
        <v>0.1705</v>
      </c>
      <c r="L11" s="16">
        <v>0.1164</v>
      </c>
      <c r="M11" s="29">
        <v>-0.6228</v>
      </c>
    </row>
    <row r="12" ht="15.6" customHeight="1" spans="1:13">
      <c r="A12" s="12" t="s">
        <v>278</v>
      </c>
      <c r="B12" s="13" t="s">
        <v>156</v>
      </c>
      <c r="C12" s="13" t="s">
        <v>555</v>
      </c>
      <c r="D12" s="13" t="s">
        <v>535</v>
      </c>
      <c r="E12" s="16" t="s">
        <v>556</v>
      </c>
      <c r="F12" s="16">
        <v>0.0264</v>
      </c>
      <c r="G12" s="16">
        <v>0.0724</v>
      </c>
      <c r="H12" s="16">
        <v>0.1325</v>
      </c>
      <c r="I12" s="27">
        <v>0.184</v>
      </c>
      <c r="J12" s="16">
        <v>0.0285</v>
      </c>
      <c r="K12" s="16">
        <v>0.15</v>
      </c>
      <c r="L12" s="16">
        <v>0.0975</v>
      </c>
      <c r="M12" s="29">
        <v>1.6824</v>
      </c>
    </row>
    <row r="13" ht="15.6" customHeight="1" spans="1:13">
      <c r="A13" s="12" t="s">
        <v>557</v>
      </c>
      <c r="B13" s="13" t="s">
        <v>61</v>
      </c>
      <c r="C13" s="13" t="s">
        <v>558</v>
      </c>
      <c r="D13" s="13" t="s">
        <v>535</v>
      </c>
      <c r="E13" s="16" t="s">
        <v>559</v>
      </c>
      <c r="F13" s="16">
        <v>0.024</v>
      </c>
      <c r="G13" s="16">
        <v>-0.0314</v>
      </c>
      <c r="H13" s="16">
        <v>0.0168</v>
      </c>
      <c r="I13" s="27">
        <v>0.1171</v>
      </c>
      <c r="J13" s="16">
        <v>0.0541</v>
      </c>
      <c r="K13" s="16">
        <v>0.0541</v>
      </c>
      <c r="L13" s="16">
        <v>0.08</v>
      </c>
      <c r="M13" s="29">
        <v>1.2142</v>
      </c>
    </row>
    <row r="14" ht="15.6" customHeight="1" spans="1:13">
      <c r="A14" s="12" t="s">
        <v>560</v>
      </c>
      <c r="B14" s="13" t="s">
        <v>54</v>
      </c>
      <c r="C14" s="13" t="s">
        <v>561</v>
      </c>
      <c r="D14" s="13" t="s">
        <v>535</v>
      </c>
      <c r="E14" s="16" t="s">
        <v>562</v>
      </c>
      <c r="F14" s="16">
        <v>0.0235</v>
      </c>
      <c r="G14" s="16">
        <v>0.1136</v>
      </c>
      <c r="H14" s="16">
        <v>0.2298</v>
      </c>
      <c r="I14" s="27">
        <v>0.2755</v>
      </c>
      <c r="J14" s="16">
        <v>0.0508</v>
      </c>
      <c r="K14" s="16">
        <v>0.0629</v>
      </c>
      <c r="L14" s="16">
        <v>0.1612</v>
      </c>
      <c r="M14" s="29">
        <v>1.5846</v>
      </c>
    </row>
    <row r="15" ht="15.6" customHeight="1" spans="1:13">
      <c r="A15" s="12" t="s">
        <v>563</v>
      </c>
      <c r="B15" s="13" t="s">
        <v>54</v>
      </c>
      <c r="C15" s="13" t="s">
        <v>564</v>
      </c>
      <c r="D15" s="13" t="s">
        <v>535</v>
      </c>
      <c r="E15" s="16" t="s">
        <v>565</v>
      </c>
      <c r="F15" s="16">
        <v>0.0232</v>
      </c>
      <c r="G15" s="16">
        <v>0.0023</v>
      </c>
      <c r="H15" s="16">
        <v>-0.0019</v>
      </c>
      <c r="I15" s="27">
        <v>0.0841</v>
      </c>
      <c r="J15" s="16">
        <v>0.0365</v>
      </c>
      <c r="K15" s="16">
        <v>0.0365</v>
      </c>
      <c r="L15" s="16">
        <v>0.0574</v>
      </c>
      <c r="M15" s="29">
        <v>1.1164</v>
      </c>
    </row>
    <row r="16" ht="15.6" customHeight="1" spans="1:13">
      <c r="A16" s="12" t="s">
        <v>374</v>
      </c>
      <c r="B16" s="13" t="s">
        <v>217</v>
      </c>
      <c r="C16" s="13" t="s">
        <v>566</v>
      </c>
      <c r="D16" s="13" t="s">
        <v>535</v>
      </c>
      <c r="E16" s="16" t="s">
        <v>567</v>
      </c>
      <c r="F16" s="16">
        <v>0.023</v>
      </c>
      <c r="G16" s="16">
        <v>-0.094</v>
      </c>
      <c r="H16" s="16">
        <v>-0.0849</v>
      </c>
      <c r="I16" s="27">
        <v>0.1496</v>
      </c>
      <c r="J16" s="16">
        <v>0.1317</v>
      </c>
      <c r="K16" s="16">
        <v>0.1866</v>
      </c>
      <c r="L16" s="16">
        <v>0.1183</v>
      </c>
      <c r="M16" s="29">
        <v>1.0959</v>
      </c>
    </row>
    <row r="17" ht="15.6" customHeight="1" spans="1:13">
      <c r="A17" s="12" t="s">
        <v>568</v>
      </c>
      <c r="B17" s="13" t="s">
        <v>61</v>
      </c>
      <c r="C17" s="13" t="s">
        <v>569</v>
      </c>
      <c r="D17" s="13" t="s">
        <v>535</v>
      </c>
      <c r="E17" s="16" t="s">
        <v>570</v>
      </c>
      <c r="F17" s="16">
        <v>0.021</v>
      </c>
      <c r="G17" s="16">
        <v>0.0785</v>
      </c>
      <c r="H17" s="16">
        <v>0.16</v>
      </c>
      <c r="I17" s="27">
        <v>0.1876</v>
      </c>
      <c r="J17" s="16">
        <v>0.0174</v>
      </c>
      <c r="K17" s="16">
        <v>0.1265</v>
      </c>
      <c r="L17" s="16">
        <v>0.0865</v>
      </c>
      <c r="M17" s="29">
        <v>1.9372</v>
      </c>
    </row>
    <row r="18" ht="15.6" customHeight="1" spans="1:13">
      <c r="A18" s="12" t="s">
        <v>291</v>
      </c>
      <c r="B18" s="13" t="s">
        <v>217</v>
      </c>
      <c r="C18" s="13" t="s">
        <v>571</v>
      </c>
      <c r="D18" s="13" t="s">
        <v>535</v>
      </c>
      <c r="E18" s="16" t="s">
        <v>572</v>
      </c>
      <c r="F18" s="16">
        <v>0.0208</v>
      </c>
      <c r="G18" s="16">
        <v>-0.0277</v>
      </c>
      <c r="H18" s="16">
        <v>-0.0108</v>
      </c>
      <c r="I18" s="27">
        <v>0.1833</v>
      </c>
      <c r="J18" s="16">
        <v>0.0497</v>
      </c>
      <c r="K18" s="16">
        <v>0.0497</v>
      </c>
      <c r="L18" s="16">
        <v>0.0707</v>
      </c>
      <c r="M18" s="29">
        <v>2.3076</v>
      </c>
    </row>
    <row r="19" ht="15.6" customHeight="1" spans="1:13">
      <c r="A19" s="12" t="s">
        <v>385</v>
      </c>
      <c r="B19" s="13" t="s">
        <v>156</v>
      </c>
      <c r="C19" s="13" t="s">
        <v>573</v>
      </c>
      <c r="D19" s="13" t="s">
        <v>535</v>
      </c>
      <c r="E19" s="16" t="s">
        <v>387</v>
      </c>
      <c r="F19" s="16">
        <v>0.0194</v>
      </c>
      <c r="G19" s="16">
        <v>0.0126</v>
      </c>
      <c r="H19" s="16">
        <v>0.0264</v>
      </c>
      <c r="I19" s="27">
        <v>0.1491</v>
      </c>
      <c r="J19" s="16">
        <v>0.0176</v>
      </c>
      <c r="K19" s="16">
        <v>0.0343</v>
      </c>
      <c r="L19" s="16">
        <v>0.0536</v>
      </c>
      <c r="M19" s="29">
        <v>2.4066</v>
      </c>
    </row>
    <row r="20" ht="15.6" customHeight="1" spans="1:13">
      <c r="A20" s="12" t="s">
        <v>574</v>
      </c>
      <c r="B20" s="13" t="s">
        <v>156</v>
      </c>
      <c r="C20" s="13" t="s">
        <v>575</v>
      </c>
      <c r="D20" s="13" t="s">
        <v>535</v>
      </c>
      <c r="E20" s="16" t="s">
        <v>576</v>
      </c>
      <c r="F20" s="16">
        <v>0.0188</v>
      </c>
      <c r="G20" s="16">
        <v>-0.0129</v>
      </c>
      <c r="H20" s="16">
        <v>0.0022</v>
      </c>
      <c r="I20" s="27">
        <v>0.1098</v>
      </c>
      <c r="J20" s="16">
        <v>0.0415</v>
      </c>
      <c r="K20" s="16">
        <v>0.0501</v>
      </c>
      <c r="L20" s="16">
        <v>0.0611</v>
      </c>
      <c r="M20" s="29">
        <v>1.4701</v>
      </c>
    </row>
    <row r="21" ht="15.6" customHeight="1" spans="1:13">
      <c r="A21" s="12" t="s">
        <v>577</v>
      </c>
      <c r="B21" s="13" t="s">
        <v>38</v>
      </c>
      <c r="C21" s="13" t="s">
        <v>578</v>
      </c>
      <c r="D21" s="13" t="s">
        <v>535</v>
      </c>
      <c r="E21" s="16" t="s">
        <v>579</v>
      </c>
      <c r="F21" s="16">
        <v>0.018</v>
      </c>
      <c r="G21" s="16">
        <v>-0.1298</v>
      </c>
      <c r="H21" s="16">
        <v>-0.0819</v>
      </c>
      <c r="I21" s="27">
        <v>0.0254</v>
      </c>
      <c r="J21" s="16">
        <v>0.1545</v>
      </c>
      <c r="K21" s="16">
        <v>0.1545</v>
      </c>
      <c r="L21" s="16">
        <v>0.1047</v>
      </c>
      <c r="M21" s="29">
        <v>0.0517</v>
      </c>
    </row>
    <row r="22" ht="15.6" customHeight="1" spans="1:13">
      <c r="A22" s="12" t="s">
        <v>415</v>
      </c>
      <c r="B22" s="13" t="s">
        <v>38</v>
      </c>
      <c r="C22" s="13" t="s">
        <v>580</v>
      </c>
      <c r="D22" s="13" t="s">
        <v>535</v>
      </c>
      <c r="E22" s="16" t="s">
        <v>581</v>
      </c>
      <c r="F22" s="16">
        <v>0.0179</v>
      </c>
      <c r="G22" s="16">
        <v>0.0338</v>
      </c>
      <c r="H22" s="16">
        <v>0.0901</v>
      </c>
      <c r="I22" s="27">
        <v>0.2986</v>
      </c>
      <c r="J22" s="16">
        <v>0.0267</v>
      </c>
      <c r="K22" s="16">
        <v>0.0414</v>
      </c>
      <c r="L22" s="16">
        <v>0.0825</v>
      </c>
      <c r="M22" s="29">
        <v>3.3784</v>
      </c>
    </row>
    <row r="23" ht="15.6" customHeight="1" spans="1:13">
      <c r="A23" s="12" t="s">
        <v>582</v>
      </c>
      <c r="B23" s="13" t="s">
        <v>156</v>
      </c>
      <c r="C23" s="13" t="s">
        <v>583</v>
      </c>
      <c r="D23" s="13" t="s">
        <v>535</v>
      </c>
      <c r="E23" s="16" t="s">
        <v>584</v>
      </c>
      <c r="F23" s="16">
        <v>0.0175</v>
      </c>
      <c r="G23" s="16">
        <v>0.0325</v>
      </c>
      <c r="H23" s="16">
        <v>0.0926</v>
      </c>
      <c r="I23" s="27">
        <v>0.1315</v>
      </c>
      <c r="J23" s="16">
        <v>0.0109</v>
      </c>
      <c r="K23" s="16">
        <v>0.0476</v>
      </c>
      <c r="L23" s="16">
        <v>0.0835</v>
      </c>
      <c r="M23" s="29">
        <v>1.3354</v>
      </c>
    </row>
    <row r="24" ht="15.6" customHeight="1" spans="1:13">
      <c r="A24" s="12" t="s">
        <v>310</v>
      </c>
      <c r="B24" s="13" t="s">
        <v>156</v>
      </c>
      <c r="C24" s="13" t="s">
        <v>585</v>
      </c>
      <c r="D24" s="13" t="s">
        <v>535</v>
      </c>
      <c r="E24" s="16" t="s">
        <v>586</v>
      </c>
      <c r="F24" s="16">
        <v>0.0173</v>
      </c>
      <c r="G24" s="16">
        <v>0.0269</v>
      </c>
      <c r="H24" s="16">
        <v>0.049</v>
      </c>
      <c r="I24" s="27">
        <v>0.1228</v>
      </c>
      <c r="J24" s="16">
        <v>0.0382</v>
      </c>
      <c r="K24" s="16">
        <v>0.07</v>
      </c>
      <c r="L24" s="16">
        <v>0.0645</v>
      </c>
      <c r="M24" s="29">
        <v>1.5956</v>
      </c>
    </row>
    <row r="25" ht="15.6" customHeight="1" spans="1:13">
      <c r="A25" s="12" t="s">
        <v>282</v>
      </c>
      <c r="B25" s="13" t="s">
        <v>156</v>
      </c>
      <c r="C25" s="13" t="s">
        <v>587</v>
      </c>
      <c r="D25" s="13" t="s">
        <v>535</v>
      </c>
      <c r="E25" s="16" t="s">
        <v>588</v>
      </c>
      <c r="F25" s="16">
        <v>0.0154</v>
      </c>
      <c r="G25" s="16">
        <v>-0.0103</v>
      </c>
      <c r="H25" s="16">
        <v>0.0314</v>
      </c>
      <c r="I25" s="27">
        <v>0.1739</v>
      </c>
      <c r="J25" s="16">
        <v>0.0506</v>
      </c>
      <c r="K25" s="16">
        <v>0.0506</v>
      </c>
      <c r="L25" s="16">
        <v>0.0656</v>
      </c>
      <c r="M25" s="29">
        <v>2.3464</v>
      </c>
    </row>
    <row r="26" ht="15.6" customHeight="1" spans="1:13">
      <c r="A26" s="12" t="s">
        <v>589</v>
      </c>
      <c r="B26" s="13" t="s">
        <v>61</v>
      </c>
      <c r="C26" s="13" t="s">
        <v>590</v>
      </c>
      <c r="D26" s="13" t="s">
        <v>535</v>
      </c>
      <c r="E26" s="16" t="s">
        <v>591</v>
      </c>
      <c r="F26" s="16">
        <v>0.0153</v>
      </c>
      <c r="G26" s="16">
        <v>0.0562</v>
      </c>
      <c r="H26" s="16">
        <v>0.079</v>
      </c>
      <c r="I26" s="27">
        <v>0.0306</v>
      </c>
      <c r="J26" s="16">
        <v>0.0146</v>
      </c>
      <c r="K26" s="16">
        <v>0.0848</v>
      </c>
      <c r="L26" s="16">
        <v>0.0717</v>
      </c>
      <c r="M26" s="29">
        <v>0.1474</v>
      </c>
    </row>
    <row r="27" ht="15.6" customHeight="1" spans="1:13">
      <c r="A27" s="12" t="s">
        <v>388</v>
      </c>
      <c r="B27" s="13" t="s">
        <v>156</v>
      </c>
      <c r="C27" s="13" t="s">
        <v>592</v>
      </c>
      <c r="D27" s="13" t="s">
        <v>535</v>
      </c>
      <c r="E27" s="16" t="s">
        <v>593</v>
      </c>
      <c r="F27" s="16">
        <v>0.0148</v>
      </c>
      <c r="G27" s="16">
        <v>-0.0537</v>
      </c>
      <c r="H27" s="16">
        <v>-0.0272</v>
      </c>
      <c r="I27" s="27">
        <v>0.0691</v>
      </c>
      <c r="J27" s="16">
        <v>0.0736</v>
      </c>
      <c r="K27" s="16">
        <v>0.0818</v>
      </c>
      <c r="L27" s="16">
        <v>0.0754</v>
      </c>
      <c r="M27" s="29">
        <v>0.6516</v>
      </c>
    </row>
    <row r="28" ht="15.6" customHeight="1" spans="1:13">
      <c r="A28" s="12" t="s">
        <v>594</v>
      </c>
      <c r="B28" s="13" t="s">
        <v>54</v>
      </c>
      <c r="C28" s="13" t="s">
        <v>595</v>
      </c>
      <c r="D28" s="13" t="s">
        <v>535</v>
      </c>
      <c r="E28" s="16" t="s">
        <v>596</v>
      </c>
      <c r="F28" s="16">
        <v>0.0139</v>
      </c>
      <c r="G28" s="16">
        <v>-0.0359</v>
      </c>
      <c r="H28" s="16">
        <v>0.0091</v>
      </c>
      <c r="I28" s="27">
        <v>0.1442</v>
      </c>
      <c r="J28" s="16">
        <v>0.0503</v>
      </c>
      <c r="K28" s="16">
        <v>0.1132</v>
      </c>
      <c r="L28" s="16">
        <v>0.0852</v>
      </c>
      <c r="M28" s="29">
        <v>1.4579</v>
      </c>
    </row>
    <row r="29" ht="15.6" customHeight="1" spans="1:13">
      <c r="A29" s="12" t="s">
        <v>401</v>
      </c>
      <c r="B29" s="13" t="s">
        <v>156</v>
      </c>
      <c r="C29" s="13" t="s">
        <v>597</v>
      </c>
      <c r="D29" s="13" t="s">
        <v>535</v>
      </c>
      <c r="E29" s="16" t="s">
        <v>598</v>
      </c>
      <c r="F29" s="16">
        <v>0.0139</v>
      </c>
      <c r="G29" s="16">
        <v>0.0681</v>
      </c>
      <c r="H29" s="16">
        <v>0.1059</v>
      </c>
      <c r="I29" s="27">
        <v>0.3181</v>
      </c>
      <c r="J29" s="16">
        <v>0.0249</v>
      </c>
      <c r="K29" s="16">
        <v>0.0506</v>
      </c>
      <c r="L29" s="16">
        <v>0.114</v>
      </c>
      <c r="M29" s="29">
        <v>2.6151</v>
      </c>
    </row>
    <row r="30" ht="15.6" customHeight="1" spans="1:13">
      <c r="A30" s="12" t="s">
        <v>434</v>
      </c>
      <c r="B30" s="13" t="s">
        <v>156</v>
      </c>
      <c r="C30" s="13" t="s">
        <v>599</v>
      </c>
      <c r="D30" s="13" t="s">
        <v>535</v>
      </c>
      <c r="E30" s="16" t="s">
        <v>600</v>
      </c>
      <c r="F30" s="16">
        <v>0.0129</v>
      </c>
      <c r="G30" s="16">
        <v>0.0409</v>
      </c>
      <c r="H30" s="16">
        <v>0.0811</v>
      </c>
      <c r="I30" s="27">
        <v>0.2595</v>
      </c>
      <c r="J30" s="16">
        <v>0.0153</v>
      </c>
      <c r="K30" s="16">
        <v>0.0325</v>
      </c>
      <c r="L30" s="16">
        <v>0.0674</v>
      </c>
      <c r="M30" s="29">
        <v>3.5536</v>
      </c>
    </row>
    <row r="31" ht="15.6" customHeight="1" spans="1:13">
      <c r="A31" s="12" t="s">
        <v>354</v>
      </c>
      <c r="B31" s="13" t="s">
        <v>54</v>
      </c>
      <c r="C31" s="13" t="s">
        <v>601</v>
      </c>
      <c r="D31" s="13" t="s">
        <v>535</v>
      </c>
      <c r="E31" s="16" t="s">
        <v>602</v>
      </c>
      <c r="F31" s="16">
        <v>0.0117</v>
      </c>
      <c r="G31" s="16">
        <v>0.0405</v>
      </c>
      <c r="H31" s="16">
        <v>0.0465</v>
      </c>
      <c r="I31" s="27">
        <v>0.144</v>
      </c>
      <c r="J31" s="16">
        <v>0.0314</v>
      </c>
      <c r="K31" s="16">
        <v>0.2081</v>
      </c>
      <c r="L31" s="16">
        <v>0.1205</v>
      </c>
      <c r="M31" s="29">
        <v>1.0284</v>
      </c>
    </row>
    <row r="32" ht="15.6" customHeight="1" spans="1:13">
      <c r="A32" s="12" t="s">
        <v>426</v>
      </c>
      <c r="B32" s="13" t="s">
        <v>156</v>
      </c>
      <c r="C32" s="13" t="s">
        <v>603</v>
      </c>
      <c r="D32" s="13" t="s">
        <v>535</v>
      </c>
      <c r="E32" s="16" t="s">
        <v>604</v>
      </c>
      <c r="F32" s="16">
        <v>0.0114</v>
      </c>
      <c r="G32" s="16">
        <v>0.0614</v>
      </c>
      <c r="H32" s="16">
        <v>0.0854</v>
      </c>
      <c r="I32" s="27">
        <v>0.2238</v>
      </c>
      <c r="J32" s="16">
        <v>0.015</v>
      </c>
      <c r="K32" s="16">
        <v>0.0263</v>
      </c>
      <c r="L32" s="16">
        <v>0.0594</v>
      </c>
      <c r="M32" s="29">
        <v>3.4315</v>
      </c>
    </row>
    <row r="33" ht="15.6" customHeight="1" spans="1:13">
      <c r="A33" s="12" t="s">
        <v>443</v>
      </c>
      <c r="B33" s="13" t="s">
        <v>217</v>
      </c>
      <c r="C33" s="13" t="s">
        <v>605</v>
      </c>
      <c r="D33" s="13" t="s">
        <v>535</v>
      </c>
      <c r="E33" s="16" t="s">
        <v>606</v>
      </c>
      <c r="F33" s="16">
        <v>0.0109</v>
      </c>
      <c r="G33" s="16">
        <v>0.006</v>
      </c>
      <c r="H33" s="16">
        <v>0.0196</v>
      </c>
      <c r="I33" s="27">
        <v>0.1456</v>
      </c>
      <c r="J33" s="16">
        <v>0.022</v>
      </c>
      <c r="K33" s="16">
        <v>0.0862</v>
      </c>
      <c r="L33" s="16">
        <v>0.0783</v>
      </c>
      <c r="M33" s="29">
        <v>1.6037</v>
      </c>
    </row>
    <row r="34" ht="15.6" customHeight="1" spans="1:13">
      <c r="A34" s="12" t="s">
        <v>362</v>
      </c>
      <c r="B34" s="13" t="s">
        <v>38</v>
      </c>
      <c r="C34" s="13" t="s">
        <v>607</v>
      </c>
      <c r="D34" s="13" t="s">
        <v>535</v>
      </c>
      <c r="E34" s="16" t="s">
        <v>608</v>
      </c>
      <c r="F34" s="16">
        <v>0.0105</v>
      </c>
      <c r="G34" s="16">
        <v>0.0039</v>
      </c>
      <c r="H34" s="16">
        <v>-0.0122</v>
      </c>
      <c r="I34" s="27">
        <v>0.0759</v>
      </c>
      <c r="J34" s="16">
        <v>0.0487</v>
      </c>
      <c r="K34" s="16">
        <v>0.0862</v>
      </c>
      <c r="L34" s="16">
        <v>0.075</v>
      </c>
      <c r="M34" s="29">
        <v>0.7459</v>
      </c>
    </row>
    <row r="35" ht="15.6" customHeight="1" spans="1:13">
      <c r="A35" s="12" t="s">
        <v>462</v>
      </c>
      <c r="B35" s="13" t="s">
        <v>61</v>
      </c>
      <c r="C35" s="13" t="s">
        <v>609</v>
      </c>
      <c r="D35" s="13" t="s">
        <v>535</v>
      </c>
      <c r="E35" s="16" t="s">
        <v>610</v>
      </c>
      <c r="F35" s="16">
        <v>0.0105</v>
      </c>
      <c r="G35" s="16">
        <v>0.0114</v>
      </c>
      <c r="H35" s="16">
        <v>0.0021</v>
      </c>
      <c r="I35" s="27">
        <v>0.0972</v>
      </c>
      <c r="J35" s="16">
        <v>0.018</v>
      </c>
      <c r="K35" s="16">
        <v>0.0501</v>
      </c>
      <c r="L35" s="16">
        <v>0.0598</v>
      </c>
      <c r="M35" s="29">
        <v>1.2918</v>
      </c>
    </row>
    <row r="36" ht="15.6" customHeight="1" spans="1:13">
      <c r="A36" s="12" t="s">
        <v>477</v>
      </c>
      <c r="B36" s="13" t="s">
        <v>156</v>
      </c>
      <c r="C36" s="13" t="s">
        <v>611</v>
      </c>
      <c r="D36" s="13" t="s">
        <v>535</v>
      </c>
      <c r="E36" s="16" t="s">
        <v>612</v>
      </c>
      <c r="F36" s="16">
        <v>0.0104</v>
      </c>
      <c r="G36" s="16">
        <v>0.1001</v>
      </c>
      <c r="H36" s="16">
        <v>0.1694</v>
      </c>
      <c r="I36" s="27">
        <v>0.2765</v>
      </c>
      <c r="J36" s="16">
        <v>0.0046</v>
      </c>
      <c r="K36" s="16">
        <v>0.1042</v>
      </c>
      <c r="L36" s="16">
        <v>0.0796</v>
      </c>
      <c r="M36" s="29">
        <v>3.2237</v>
      </c>
    </row>
    <row r="37" ht="15.6" customHeight="1" spans="1:13">
      <c r="A37" s="12" t="s">
        <v>613</v>
      </c>
      <c r="B37" s="13" t="s">
        <v>61</v>
      </c>
      <c r="C37" s="13" t="s">
        <v>614</v>
      </c>
      <c r="D37" s="13" t="s">
        <v>535</v>
      </c>
      <c r="E37" s="16" t="s">
        <v>615</v>
      </c>
      <c r="F37" s="16">
        <v>0.01</v>
      </c>
      <c r="G37" s="16">
        <v>0.0756</v>
      </c>
      <c r="H37" s="16">
        <v>0.1074</v>
      </c>
      <c r="I37" s="27">
        <v>0.2354</v>
      </c>
      <c r="J37" s="16">
        <v>0.0124</v>
      </c>
      <c r="K37" s="16">
        <v>0.1223</v>
      </c>
      <c r="L37" s="16">
        <v>0.1196</v>
      </c>
      <c r="M37" s="29">
        <v>1.8013</v>
      </c>
    </row>
    <row r="38" ht="15.6" customHeight="1" spans="1:13">
      <c r="A38" s="12" t="s">
        <v>302</v>
      </c>
      <c r="B38" s="13" t="s">
        <v>156</v>
      </c>
      <c r="C38" s="13" t="s">
        <v>616</v>
      </c>
      <c r="D38" s="13" t="s">
        <v>535</v>
      </c>
      <c r="E38" s="16" t="s">
        <v>617</v>
      </c>
      <c r="F38" s="16">
        <v>0.0093</v>
      </c>
      <c r="G38" s="16">
        <v>0.0535</v>
      </c>
      <c r="H38" s="16">
        <v>0.026</v>
      </c>
      <c r="I38" s="27">
        <v>0.1271</v>
      </c>
      <c r="J38" s="16">
        <v>0.0337</v>
      </c>
      <c r="K38" s="16">
        <v>0.1207</v>
      </c>
      <c r="L38" s="16">
        <v>0.0879</v>
      </c>
      <c r="M38" s="29">
        <v>1.2178</v>
      </c>
    </row>
    <row r="39" ht="15.6" customHeight="1" spans="1:13">
      <c r="A39" s="12" t="s">
        <v>457</v>
      </c>
      <c r="B39" s="13" t="s">
        <v>156</v>
      </c>
      <c r="C39" s="13" t="s">
        <v>618</v>
      </c>
      <c r="D39" s="13" t="s">
        <v>535</v>
      </c>
      <c r="E39" s="16" t="s">
        <v>245</v>
      </c>
      <c r="F39" s="16">
        <v>0.0083</v>
      </c>
      <c r="G39" s="16">
        <v>0.0339</v>
      </c>
      <c r="H39" s="16">
        <v>0.0847</v>
      </c>
      <c r="I39" s="27">
        <v>0.1532</v>
      </c>
      <c r="J39" s="16">
        <v>0.0107</v>
      </c>
      <c r="K39" s="16">
        <v>0.0513</v>
      </c>
      <c r="L39" s="16">
        <v>0.0538</v>
      </c>
      <c r="M39" s="29">
        <v>2.4758</v>
      </c>
    </row>
    <row r="40" ht="15.6" customHeight="1" spans="1:13">
      <c r="A40" s="12" t="s">
        <v>619</v>
      </c>
      <c r="B40" s="13" t="s">
        <v>38</v>
      </c>
      <c r="C40" s="13" t="s">
        <v>620</v>
      </c>
      <c r="D40" s="13" t="s">
        <v>535</v>
      </c>
      <c r="E40" s="16" t="s">
        <v>621</v>
      </c>
      <c r="F40" s="16">
        <v>0.0079</v>
      </c>
      <c r="G40" s="16">
        <v>0.0368</v>
      </c>
      <c r="H40" s="16">
        <v>0.0629</v>
      </c>
      <c r="I40" s="27">
        <v>0.168</v>
      </c>
      <c r="J40" s="16">
        <v>0.0069</v>
      </c>
      <c r="K40" s="16">
        <v>0.0357</v>
      </c>
      <c r="L40" s="16">
        <v>0.0549</v>
      </c>
      <c r="M40" s="29">
        <v>2.6977</v>
      </c>
    </row>
    <row r="41" ht="15.6" customHeight="1" spans="1:13">
      <c r="A41" s="12" t="s">
        <v>431</v>
      </c>
      <c r="B41" s="13" t="s">
        <v>217</v>
      </c>
      <c r="C41" s="13" t="s">
        <v>622</v>
      </c>
      <c r="D41" s="13" t="s">
        <v>535</v>
      </c>
      <c r="E41" s="16" t="s">
        <v>623</v>
      </c>
      <c r="F41" s="16">
        <v>0.0079</v>
      </c>
      <c r="G41" s="16">
        <v>0.0538</v>
      </c>
      <c r="H41" s="16">
        <v>0.0981</v>
      </c>
      <c r="I41" s="27">
        <v>0.1512</v>
      </c>
      <c r="J41" s="16">
        <v>0.0184</v>
      </c>
      <c r="K41" s="16">
        <v>0.0872</v>
      </c>
      <c r="L41" s="16">
        <v>0.0813</v>
      </c>
      <c r="M41" s="29">
        <v>1.6134</v>
      </c>
    </row>
    <row r="42" ht="15.6" customHeight="1" spans="1:13">
      <c r="A42" s="12" t="s">
        <v>446</v>
      </c>
      <c r="B42" s="13" t="s">
        <v>217</v>
      </c>
      <c r="C42" s="13" t="s">
        <v>624</v>
      </c>
      <c r="D42" s="13" t="s">
        <v>535</v>
      </c>
      <c r="E42" s="16" t="s">
        <v>625</v>
      </c>
      <c r="F42" s="16">
        <v>0.0072</v>
      </c>
      <c r="G42" s="16">
        <v>-0.0472</v>
      </c>
      <c r="H42" s="16">
        <v>-0.0118</v>
      </c>
      <c r="I42" s="27">
        <v>0.0815</v>
      </c>
      <c r="J42" s="16">
        <v>0.054</v>
      </c>
      <c r="K42" s="16">
        <v>0.054</v>
      </c>
      <c r="L42" s="16">
        <v>0.0521</v>
      </c>
      <c r="M42" s="29">
        <v>1.1796</v>
      </c>
    </row>
    <row r="43" ht="15.6" customHeight="1" spans="1:13">
      <c r="A43" s="12" t="s">
        <v>626</v>
      </c>
      <c r="B43" s="13" t="s">
        <v>30</v>
      </c>
      <c r="C43" s="13" t="s">
        <v>627</v>
      </c>
      <c r="D43" s="13" t="s">
        <v>535</v>
      </c>
      <c r="E43" s="16" t="s">
        <v>588</v>
      </c>
      <c r="F43" s="16">
        <v>0.007</v>
      </c>
      <c r="G43" s="16">
        <v>-0.0273</v>
      </c>
      <c r="H43" s="16">
        <v>-0.0617</v>
      </c>
      <c r="I43" s="27">
        <v>0.0667</v>
      </c>
      <c r="J43" s="16">
        <v>0.0924</v>
      </c>
      <c r="K43" s="16">
        <v>0.1028</v>
      </c>
      <c r="L43" s="16">
        <v>0.091</v>
      </c>
      <c r="M43" s="29">
        <v>0.5128</v>
      </c>
    </row>
    <row r="44" ht="15.6" customHeight="1" spans="1:13">
      <c r="A44" s="12" t="s">
        <v>628</v>
      </c>
      <c r="B44" s="13" t="s">
        <v>156</v>
      </c>
      <c r="C44" s="13" t="s">
        <v>629</v>
      </c>
      <c r="D44" s="13" t="s">
        <v>535</v>
      </c>
      <c r="E44" s="16" t="s">
        <v>630</v>
      </c>
      <c r="F44" s="16">
        <v>0.0066</v>
      </c>
      <c r="G44" s="16">
        <v>-0.0349</v>
      </c>
      <c r="H44" s="16">
        <v>0.0129</v>
      </c>
      <c r="I44" s="27">
        <v>0.0885</v>
      </c>
      <c r="J44" s="16">
        <v>0.0412</v>
      </c>
      <c r="K44" s="16">
        <v>0.1236</v>
      </c>
      <c r="L44" s="16">
        <v>0.072</v>
      </c>
      <c r="M44" s="29">
        <v>0.9515</v>
      </c>
    </row>
    <row r="45" ht="15.6" customHeight="1" spans="1:13">
      <c r="A45" s="12" t="s">
        <v>294</v>
      </c>
      <c r="B45" s="13" t="s">
        <v>61</v>
      </c>
      <c r="C45" s="13" t="s">
        <v>631</v>
      </c>
      <c r="D45" s="13" t="s">
        <v>535</v>
      </c>
      <c r="E45" s="16" t="s">
        <v>632</v>
      </c>
      <c r="F45" s="16">
        <v>0.0065</v>
      </c>
      <c r="G45" s="16">
        <v>0.0117</v>
      </c>
      <c r="H45" s="16">
        <v>0.0252</v>
      </c>
      <c r="I45" s="27">
        <v>0.1017</v>
      </c>
      <c r="J45" s="16">
        <v>0.0291</v>
      </c>
      <c r="K45" s="16">
        <v>0.0598</v>
      </c>
      <c r="L45" s="16">
        <v>0.0587</v>
      </c>
      <c r="M45" s="29">
        <v>1.3926</v>
      </c>
    </row>
    <row r="46" ht="15.6" customHeight="1" spans="1:13">
      <c r="A46" s="12" t="s">
        <v>633</v>
      </c>
      <c r="B46" s="13" t="s">
        <v>30</v>
      </c>
      <c r="C46" s="13" t="s">
        <v>634</v>
      </c>
      <c r="D46" s="13" t="s">
        <v>535</v>
      </c>
      <c r="E46" s="16" t="s">
        <v>635</v>
      </c>
      <c r="F46" s="16">
        <v>0.0063</v>
      </c>
      <c r="G46" s="16">
        <v>-0.035</v>
      </c>
      <c r="H46" s="16">
        <v>-0.0248</v>
      </c>
      <c r="I46" s="27">
        <v>-0.009</v>
      </c>
      <c r="J46" s="16">
        <v>0.0496</v>
      </c>
      <c r="K46" s="16">
        <v>0.0496</v>
      </c>
      <c r="L46" s="16">
        <v>0.0905</v>
      </c>
      <c r="M46" s="29">
        <v>-0.3204</v>
      </c>
    </row>
    <row r="47" ht="15.6" customHeight="1" spans="1:13">
      <c r="A47" s="12" t="s">
        <v>636</v>
      </c>
      <c r="B47" s="13" t="s">
        <v>61</v>
      </c>
      <c r="C47" s="13" t="s">
        <v>637</v>
      </c>
      <c r="D47" s="13" t="s">
        <v>535</v>
      </c>
      <c r="E47" s="16" t="s">
        <v>638</v>
      </c>
      <c r="F47" s="16">
        <v>0.0055</v>
      </c>
      <c r="G47" s="16">
        <v>0.0519</v>
      </c>
      <c r="H47" s="16">
        <v>0.0741</v>
      </c>
      <c r="I47" s="27">
        <v>0.1506</v>
      </c>
      <c r="J47" s="16">
        <v>0.0121</v>
      </c>
      <c r="K47" s="16">
        <v>0.0564</v>
      </c>
      <c r="L47" s="16">
        <v>0.0664</v>
      </c>
      <c r="M47" s="29">
        <v>1.967</v>
      </c>
    </row>
    <row r="48" ht="15.6" customHeight="1" spans="1:13">
      <c r="A48" s="12" t="s">
        <v>423</v>
      </c>
      <c r="B48" s="13" t="s">
        <v>156</v>
      </c>
      <c r="C48" s="13" t="s">
        <v>639</v>
      </c>
      <c r="D48" s="13" t="s">
        <v>535</v>
      </c>
      <c r="E48" s="16" t="s">
        <v>612</v>
      </c>
      <c r="F48" s="16">
        <v>0.005</v>
      </c>
      <c r="G48" s="16">
        <v>0.0219</v>
      </c>
      <c r="H48" s="16">
        <v>0.0592</v>
      </c>
      <c r="I48" s="27">
        <v>0.0355</v>
      </c>
      <c r="J48" s="16">
        <v>0.0014</v>
      </c>
      <c r="K48" s="16">
        <v>0.3612</v>
      </c>
      <c r="L48" s="16">
        <v>0.2102</v>
      </c>
      <c r="M48" s="29">
        <v>0.0736</v>
      </c>
    </row>
    <row r="49" ht="15.6" customHeight="1" spans="1:13">
      <c r="A49" s="12" t="s">
        <v>437</v>
      </c>
      <c r="B49" s="13" t="s">
        <v>61</v>
      </c>
      <c r="C49" s="13" t="s">
        <v>640</v>
      </c>
      <c r="D49" s="13" t="s">
        <v>535</v>
      </c>
      <c r="E49" s="16" t="s">
        <v>485</v>
      </c>
      <c r="F49" s="16">
        <v>0.0045</v>
      </c>
      <c r="G49" s="16">
        <v>0.0259</v>
      </c>
      <c r="H49" s="16">
        <v>0.0501</v>
      </c>
      <c r="I49" s="27">
        <v>0.015</v>
      </c>
      <c r="J49" s="16">
        <v>0.0015</v>
      </c>
      <c r="K49" s="16">
        <v>0.0944</v>
      </c>
      <c r="L49" s="16">
        <v>0.0713</v>
      </c>
      <c r="M49" s="29">
        <v>-0.0702</v>
      </c>
    </row>
    <row r="50" ht="15.6" customHeight="1" spans="1:13">
      <c r="A50" s="12" t="s">
        <v>409</v>
      </c>
      <c r="B50" s="13" t="s">
        <v>156</v>
      </c>
      <c r="C50" s="13" t="s">
        <v>641</v>
      </c>
      <c r="D50" s="13" t="s">
        <v>535</v>
      </c>
      <c r="E50" s="16" t="s">
        <v>642</v>
      </c>
      <c r="F50" s="16">
        <v>0.0044</v>
      </c>
      <c r="G50" s="16">
        <v>0.0077</v>
      </c>
      <c r="H50" s="16">
        <v>0.0469</v>
      </c>
      <c r="I50" s="27">
        <v>0.1232</v>
      </c>
      <c r="J50" s="16">
        <v>0.0169</v>
      </c>
      <c r="K50" s="16">
        <v>0.2061</v>
      </c>
      <c r="L50" s="16">
        <v>0.1186</v>
      </c>
      <c r="M50" s="29">
        <v>0.87</v>
      </c>
    </row>
    <row r="51" ht="15.6" customHeight="1" spans="1:13">
      <c r="A51" s="12" t="s">
        <v>643</v>
      </c>
      <c r="B51" s="13" t="s">
        <v>156</v>
      </c>
      <c r="C51" s="13" t="s">
        <v>644</v>
      </c>
      <c r="D51" s="13" t="s">
        <v>535</v>
      </c>
      <c r="E51" s="16" t="s">
        <v>570</v>
      </c>
      <c r="F51" s="16">
        <v>0.0039</v>
      </c>
      <c r="G51" s="16">
        <v>0.0798</v>
      </c>
      <c r="H51" s="16">
        <v>0.0863</v>
      </c>
      <c r="I51" s="27">
        <v>0.1821</v>
      </c>
      <c r="J51" s="16">
        <v>0.0163</v>
      </c>
      <c r="K51" s="16">
        <v>0.1086</v>
      </c>
      <c r="L51" s="16">
        <v>0.0732</v>
      </c>
      <c r="M51" s="29">
        <v>2.2144</v>
      </c>
    </row>
    <row r="52" ht="15.6" customHeight="1" spans="1:13">
      <c r="A52" s="12" t="s">
        <v>316</v>
      </c>
      <c r="B52" s="13" t="s">
        <v>156</v>
      </c>
      <c r="C52" s="13" t="s">
        <v>645</v>
      </c>
      <c r="D52" s="13" t="s">
        <v>535</v>
      </c>
      <c r="E52" s="16" t="s">
        <v>646</v>
      </c>
      <c r="F52" s="16">
        <v>0.0035</v>
      </c>
      <c r="G52" s="16">
        <v>0.018</v>
      </c>
      <c r="H52" s="16">
        <v>0.0717</v>
      </c>
      <c r="I52" s="27">
        <v>0.2322</v>
      </c>
      <c r="J52" s="16">
        <v>0.0215</v>
      </c>
      <c r="K52" s="16">
        <v>0.0612</v>
      </c>
      <c r="L52" s="16">
        <v>0.0846</v>
      </c>
      <c r="M52" s="29">
        <v>2.5078</v>
      </c>
    </row>
    <row r="53" ht="15.6" customHeight="1" spans="1:13">
      <c r="A53" s="12" t="s">
        <v>313</v>
      </c>
      <c r="B53" s="13" t="s">
        <v>156</v>
      </c>
      <c r="C53" s="13" t="s">
        <v>647</v>
      </c>
      <c r="D53" s="13" t="s">
        <v>535</v>
      </c>
      <c r="E53" s="16" t="s">
        <v>648</v>
      </c>
      <c r="F53" s="16">
        <v>0.0029</v>
      </c>
      <c r="G53" s="16">
        <v>0.0311</v>
      </c>
      <c r="H53" s="16">
        <v>0.059</v>
      </c>
      <c r="I53" s="27">
        <v>0.2086</v>
      </c>
      <c r="J53" s="16">
        <v>0.0182</v>
      </c>
      <c r="K53" s="16">
        <v>0.0447</v>
      </c>
      <c r="L53" s="16">
        <v>0.0642</v>
      </c>
      <c r="M53" s="29">
        <v>2.9359</v>
      </c>
    </row>
    <row r="54" ht="15.6" customHeight="1" spans="1:13">
      <c r="A54" s="12" t="s">
        <v>649</v>
      </c>
      <c r="B54" s="13" t="s">
        <v>217</v>
      </c>
      <c r="C54" s="13" t="s">
        <v>650</v>
      </c>
      <c r="D54" s="13" t="s">
        <v>535</v>
      </c>
      <c r="E54" s="16" t="s">
        <v>651</v>
      </c>
      <c r="F54" s="16">
        <v>0.0026</v>
      </c>
      <c r="G54" s="16">
        <v>0.101</v>
      </c>
      <c r="H54" s="16">
        <v>0.1509</v>
      </c>
      <c r="I54" s="27">
        <v>0.2876</v>
      </c>
      <c r="J54" s="16">
        <v>0.0124</v>
      </c>
      <c r="K54" s="16">
        <v>0.0198</v>
      </c>
      <c r="L54" s="16">
        <v>0.0714</v>
      </c>
      <c r="M54" s="29">
        <v>3.7485</v>
      </c>
    </row>
    <row r="55" ht="15.6" customHeight="1" spans="1:13">
      <c r="A55" s="12" t="s">
        <v>474</v>
      </c>
      <c r="B55" s="13" t="s">
        <v>156</v>
      </c>
      <c r="C55" s="13" t="s">
        <v>652</v>
      </c>
      <c r="D55" s="13" t="s">
        <v>535</v>
      </c>
      <c r="E55" s="16" t="s">
        <v>653</v>
      </c>
      <c r="F55" s="16">
        <v>0.0015</v>
      </c>
      <c r="G55" s="16">
        <v>0.0033</v>
      </c>
      <c r="H55" s="16">
        <v>0.0594</v>
      </c>
      <c r="I55" s="27">
        <v>0.1989</v>
      </c>
      <c r="J55" s="16">
        <v>0.015</v>
      </c>
      <c r="K55" s="16">
        <v>0.0486</v>
      </c>
      <c r="L55" s="16">
        <v>0.0789</v>
      </c>
      <c r="M55" s="29">
        <v>2.2659</v>
      </c>
    </row>
    <row r="56" ht="15.6" customHeight="1" spans="1:13">
      <c r="A56" s="12" t="s">
        <v>440</v>
      </c>
      <c r="B56" s="13" t="s">
        <v>156</v>
      </c>
      <c r="C56" s="13" t="s">
        <v>654</v>
      </c>
      <c r="D56" s="13" t="s">
        <v>535</v>
      </c>
      <c r="E56" s="16" t="s">
        <v>284</v>
      </c>
      <c r="F56" s="16">
        <v>0.0013</v>
      </c>
      <c r="G56" s="16">
        <v>-0.037</v>
      </c>
      <c r="H56" s="16">
        <v>0.1138</v>
      </c>
      <c r="I56" s="27">
        <v>0.1186</v>
      </c>
      <c r="J56" s="16">
        <v>0.0494</v>
      </c>
      <c r="K56" s="16">
        <v>0.1194</v>
      </c>
      <c r="L56" s="16">
        <v>0.0887</v>
      </c>
      <c r="M56" s="29">
        <v>1.112</v>
      </c>
    </row>
    <row r="57" ht="15.6" customHeight="1" spans="1:13">
      <c r="A57" s="12" t="s">
        <v>655</v>
      </c>
      <c r="B57" s="13" t="s">
        <v>156</v>
      </c>
      <c r="C57" s="13" t="s">
        <v>656</v>
      </c>
      <c r="D57" s="13" t="s">
        <v>535</v>
      </c>
      <c r="E57" s="16" t="s">
        <v>657</v>
      </c>
      <c r="F57" s="16">
        <v>0.0011</v>
      </c>
      <c r="G57" s="16">
        <v>0.0333</v>
      </c>
      <c r="H57" s="16">
        <v>0.0784</v>
      </c>
      <c r="I57" s="27">
        <v>0.2238</v>
      </c>
      <c r="J57" s="16">
        <v>0.0089</v>
      </c>
      <c r="K57" s="16">
        <v>0.1219</v>
      </c>
      <c r="L57" s="16">
        <v>0.0817</v>
      </c>
      <c r="M57" s="29">
        <v>2.4945</v>
      </c>
    </row>
    <row r="58" ht="15.6" customHeight="1" spans="1:13">
      <c r="A58" s="12" t="s">
        <v>319</v>
      </c>
      <c r="B58" s="13" t="s">
        <v>156</v>
      </c>
      <c r="C58" s="13" t="s">
        <v>658</v>
      </c>
      <c r="D58" s="13" t="s">
        <v>535</v>
      </c>
      <c r="E58" s="16" t="s">
        <v>659</v>
      </c>
      <c r="F58" s="16">
        <v>0.001</v>
      </c>
      <c r="G58" s="16">
        <v>0.0843</v>
      </c>
      <c r="H58" s="16">
        <v>0.1389</v>
      </c>
      <c r="I58" s="27">
        <v>0.1869</v>
      </c>
      <c r="J58" s="16">
        <v>0.0137</v>
      </c>
      <c r="K58" s="16">
        <v>0.0639</v>
      </c>
      <c r="L58" s="16">
        <v>0.0702</v>
      </c>
      <c r="M58" s="29">
        <v>2.3778</v>
      </c>
    </row>
    <row r="59" ht="15.6" customHeight="1" spans="1:13">
      <c r="A59" s="12" t="s">
        <v>486</v>
      </c>
      <c r="B59" s="13" t="s">
        <v>217</v>
      </c>
      <c r="C59" s="13" t="s">
        <v>660</v>
      </c>
      <c r="D59" s="13" t="s">
        <v>535</v>
      </c>
      <c r="E59" s="16" t="s">
        <v>661</v>
      </c>
      <c r="F59" s="16">
        <v>0.0009</v>
      </c>
      <c r="G59" s="16">
        <v>0.0381</v>
      </c>
      <c r="H59" s="16">
        <v>0.0725</v>
      </c>
      <c r="I59" s="27">
        <v>0.2551</v>
      </c>
      <c r="J59" s="16">
        <v>0.0165</v>
      </c>
      <c r="K59" s="16">
        <v>0.0269</v>
      </c>
      <c r="L59" s="16">
        <v>0.0738</v>
      </c>
      <c r="M59" s="29">
        <v>3.1839</v>
      </c>
    </row>
    <row r="60" ht="15.6" customHeight="1" spans="1:13">
      <c r="A60" s="12" t="s">
        <v>328</v>
      </c>
      <c r="B60" s="13" t="s">
        <v>217</v>
      </c>
      <c r="C60" s="13" t="s">
        <v>662</v>
      </c>
      <c r="D60" s="13" t="s">
        <v>535</v>
      </c>
      <c r="E60" s="16" t="s">
        <v>663</v>
      </c>
      <c r="F60" s="16">
        <v>0.0003</v>
      </c>
      <c r="G60" s="16">
        <v>0.0565</v>
      </c>
      <c r="H60" s="16">
        <v>0.0547</v>
      </c>
      <c r="I60" s="27">
        <v>0.2295</v>
      </c>
      <c r="J60" s="16">
        <v>0.0641</v>
      </c>
      <c r="K60" s="16">
        <v>0.0641</v>
      </c>
      <c r="L60" s="16">
        <v>0.0945</v>
      </c>
      <c r="M60" s="29">
        <v>2.2164</v>
      </c>
    </row>
    <row r="61" ht="15.6" customHeight="1" spans="1:13">
      <c r="A61" s="12" t="s">
        <v>664</v>
      </c>
      <c r="B61" s="13" t="s">
        <v>30</v>
      </c>
      <c r="C61" s="13" t="s">
        <v>665</v>
      </c>
      <c r="D61" s="13" t="s">
        <v>535</v>
      </c>
      <c r="E61" s="16" t="s">
        <v>666</v>
      </c>
      <c r="F61" s="16">
        <v>-0.0017</v>
      </c>
      <c r="G61" s="16"/>
      <c r="H61" s="16">
        <v>0.1209</v>
      </c>
      <c r="I61" s="27">
        <v>0.6946</v>
      </c>
      <c r="J61" s="16">
        <v>0.0073</v>
      </c>
      <c r="K61" s="16">
        <v>0.0073</v>
      </c>
      <c r="L61" s="16">
        <v>0.1102</v>
      </c>
      <c r="M61" s="29">
        <v>6.1195</v>
      </c>
    </row>
    <row r="62" ht="15.6" customHeight="1" spans="1:13">
      <c r="A62" s="12" t="s">
        <v>667</v>
      </c>
      <c r="B62" s="13" t="s">
        <v>61</v>
      </c>
      <c r="C62" s="13" t="s">
        <v>668</v>
      </c>
      <c r="D62" s="13" t="s">
        <v>535</v>
      </c>
      <c r="E62" s="16" t="s">
        <v>669</v>
      </c>
      <c r="F62" s="16">
        <v>-0.0019</v>
      </c>
      <c r="G62" s="16">
        <v>0.0414</v>
      </c>
      <c r="H62" s="16">
        <v>0.0227</v>
      </c>
      <c r="I62" s="27">
        <v>0.282</v>
      </c>
      <c r="J62" s="16">
        <v>0.121</v>
      </c>
      <c r="K62" s="16">
        <v>0.2108</v>
      </c>
      <c r="L62" s="16">
        <v>0.1873</v>
      </c>
      <c r="M62" s="29">
        <v>1.3988</v>
      </c>
    </row>
    <row r="63" ht="15.6" customHeight="1" spans="1:13">
      <c r="A63" s="12" t="s">
        <v>670</v>
      </c>
      <c r="B63" s="13" t="s">
        <v>61</v>
      </c>
      <c r="C63" s="13" t="s">
        <v>671</v>
      </c>
      <c r="D63" s="13" t="s">
        <v>535</v>
      </c>
      <c r="E63" s="16" t="s">
        <v>672</v>
      </c>
      <c r="F63" s="16">
        <v>-0.0041</v>
      </c>
      <c r="G63" s="16">
        <v>0.0314</v>
      </c>
      <c r="H63" s="16">
        <v>0.1024</v>
      </c>
      <c r="I63" s="27">
        <v>0.2338</v>
      </c>
      <c r="J63" s="16">
        <v>0.018</v>
      </c>
      <c r="K63" s="16">
        <v>0.018</v>
      </c>
      <c r="L63" s="16">
        <v>0.0539</v>
      </c>
      <c r="M63" s="29">
        <v>3.9697</v>
      </c>
    </row>
    <row r="64" ht="15.6" customHeight="1" spans="1:13">
      <c r="A64" s="12" t="s">
        <v>673</v>
      </c>
      <c r="B64" s="13" t="s">
        <v>30</v>
      </c>
      <c r="C64" s="13" t="s">
        <v>674</v>
      </c>
      <c r="D64" s="13" t="s">
        <v>535</v>
      </c>
      <c r="E64" s="16" t="s">
        <v>675</v>
      </c>
      <c r="F64" s="16">
        <v>-0.0048</v>
      </c>
      <c r="G64" s="16">
        <v>-0.0232</v>
      </c>
      <c r="H64" s="16">
        <v>0.0922</v>
      </c>
      <c r="I64" s="27">
        <v>-0.0438</v>
      </c>
      <c r="J64" s="16">
        <v>0.0397</v>
      </c>
      <c r="K64" s="16">
        <v>0.2111</v>
      </c>
      <c r="L64" s="16">
        <v>0.1921</v>
      </c>
      <c r="M64" s="29">
        <v>-0.3321</v>
      </c>
    </row>
    <row r="65" ht="15.6" customHeight="1" spans="1:13">
      <c r="A65" s="12" t="s">
        <v>428</v>
      </c>
      <c r="B65" s="13" t="s">
        <v>156</v>
      </c>
      <c r="C65" s="13" t="s">
        <v>676</v>
      </c>
      <c r="D65" s="13" t="s">
        <v>535</v>
      </c>
      <c r="E65" s="16" t="s">
        <v>677</v>
      </c>
      <c r="F65" s="16">
        <v>-0.0049</v>
      </c>
      <c r="G65" s="16">
        <v>0.1188</v>
      </c>
      <c r="H65" s="16">
        <v>0.1341</v>
      </c>
      <c r="I65" s="27">
        <v>0.1776</v>
      </c>
      <c r="J65" s="16">
        <v>0.0167</v>
      </c>
      <c r="K65" s="16">
        <v>0.0707</v>
      </c>
      <c r="L65" s="16">
        <v>0.0902</v>
      </c>
      <c r="M65" s="29">
        <v>1.7477</v>
      </c>
    </row>
    <row r="66" ht="15.6" customHeight="1" spans="1:13">
      <c r="A66" s="12" t="s">
        <v>507</v>
      </c>
      <c r="B66" s="13" t="s">
        <v>30</v>
      </c>
      <c r="C66" s="13" t="s">
        <v>678</v>
      </c>
      <c r="D66" s="13" t="s">
        <v>535</v>
      </c>
      <c r="E66" s="16" t="s">
        <v>679</v>
      </c>
      <c r="F66" s="16">
        <v>-0.0052</v>
      </c>
      <c r="G66" s="16">
        <v>-0.0309</v>
      </c>
      <c r="H66" s="16">
        <v>-0.0385</v>
      </c>
      <c r="I66" s="27">
        <v>-0.0156</v>
      </c>
      <c r="J66" s="16">
        <v>0.0401</v>
      </c>
      <c r="K66" s="16">
        <v>0.106</v>
      </c>
      <c r="L66" s="16">
        <v>0.0967</v>
      </c>
      <c r="M66" s="29">
        <v>-0.3677</v>
      </c>
    </row>
    <row r="67" ht="15.6" customHeight="1" spans="1:13">
      <c r="A67" s="12" t="s">
        <v>680</v>
      </c>
      <c r="B67" s="13" t="s">
        <v>38</v>
      </c>
      <c r="C67" s="13" t="s">
        <v>681</v>
      </c>
      <c r="D67" s="13" t="s">
        <v>535</v>
      </c>
      <c r="E67" s="16" t="s">
        <v>682</v>
      </c>
      <c r="F67" s="16">
        <v>-0.0054</v>
      </c>
      <c r="G67" s="16">
        <v>-0.0051</v>
      </c>
      <c r="H67" s="16">
        <v>0.0171</v>
      </c>
      <c r="I67" s="27">
        <v>-0.0568</v>
      </c>
      <c r="J67" s="16">
        <v>0.0335</v>
      </c>
      <c r="K67" s="16">
        <v>0.1275</v>
      </c>
      <c r="L67" s="16">
        <v>0.0937</v>
      </c>
      <c r="M67" s="29">
        <v>-0.8193</v>
      </c>
    </row>
    <row r="68" ht="15.6" customHeight="1" spans="1:13">
      <c r="A68" s="12" t="s">
        <v>683</v>
      </c>
      <c r="B68" s="13" t="s">
        <v>61</v>
      </c>
      <c r="C68" s="13" t="s">
        <v>684</v>
      </c>
      <c r="D68" s="13" t="s">
        <v>535</v>
      </c>
      <c r="E68" s="16" t="s">
        <v>685</v>
      </c>
      <c r="F68" s="16">
        <v>-0.0056</v>
      </c>
      <c r="G68" s="16">
        <v>0.0453</v>
      </c>
      <c r="H68" s="16">
        <v>0.0594</v>
      </c>
      <c r="I68" s="27">
        <v>0.1682</v>
      </c>
      <c r="J68" s="16">
        <v>0.0387</v>
      </c>
      <c r="K68" s="16">
        <v>0.1527</v>
      </c>
      <c r="L68" s="16">
        <v>0.1109</v>
      </c>
      <c r="M68" s="29">
        <v>1.3363</v>
      </c>
    </row>
    <row r="69" ht="15.6" customHeight="1" spans="1:13">
      <c r="A69" s="12" t="s">
        <v>686</v>
      </c>
      <c r="B69" s="13" t="s">
        <v>30</v>
      </c>
      <c r="C69" s="13" t="s">
        <v>687</v>
      </c>
      <c r="D69" s="13" t="s">
        <v>535</v>
      </c>
      <c r="E69" s="16" t="s">
        <v>688</v>
      </c>
      <c r="F69" s="16">
        <v>-0.006</v>
      </c>
      <c r="G69" s="16">
        <v>0.0727</v>
      </c>
      <c r="H69" s="16">
        <v>0.0691</v>
      </c>
      <c r="I69" s="27">
        <v>0.151</v>
      </c>
      <c r="J69" s="16">
        <v>0.0227</v>
      </c>
      <c r="K69" s="16">
        <v>0.0288</v>
      </c>
      <c r="L69" s="16">
        <v>0.0512</v>
      </c>
      <c r="M69" s="29">
        <v>2.5566</v>
      </c>
    </row>
    <row r="70" ht="15.6" customHeight="1" spans="1:13">
      <c r="A70" s="12" t="s">
        <v>689</v>
      </c>
      <c r="B70" s="13" t="s">
        <v>61</v>
      </c>
      <c r="C70" s="13" t="s">
        <v>690</v>
      </c>
      <c r="D70" s="13" t="s">
        <v>535</v>
      </c>
      <c r="E70" s="16" t="s">
        <v>691</v>
      </c>
      <c r="F70" s="16">
        <v>-0.0075</v>
      </c>
      <c r="G70" s="16">
        <v>0.073</v>
      </c>
      <c r="H70" s="16">
        <v>0.1557</v>
      </c>
      <c r="I70" s="27">
        <v>0.2251</v>
      </c>
      <c r="J70" s="16">
        <v>0.0327</v>
      </c>
      <c r="K70" s="16">
        <v>0.1175</v>
      </c>
      <c r="L70" s="16">
        <v>0.1147</v>
      </c>
      <c r="M70" s="29">
        <v>1.7882</v>
      </c>
    </row>
    <row r="71" ht="15.6" customHeight="1" spans="1:13">
      <c r="A71" s="12" t="s">
        <v>337</v>
      </c>
      <c r="B71" s="13" t="s">
        <v>156</v>
      </c>
      <c r="C71" s="13" t="s">
        <v>692</v>
      </c>
      <c r="D71" s="13" t="s">
        <v>535</v>
      </c>
      <c r="E71" s="16" t="s">
        <v>693</v>
      </c>
      <c r="F71" s="16">
        <v>-0.0098</v>
      </c>
      <c r="G71" s="16">
        <v>0.0043</v>
      </c>
      <c r="H71" s="16">
        <v>0.0429</v>
      </c>
      <c r="I71" s="27">
        <v>0.1611</v>
      </c>
      <c r="J71" s="16">
        <v>0.0225</v>
      </c>
      <c r="K71" s="16">
        <v>0.0474</v>
      </c>
      <c r="L71" s="16">
        <v>0.0454</v>
      </c>
      <c r="M71" s="29">
        <v>3.107</v>
      </c>
    </row>
    <row r="72" ht="15.6" customHeight="1" spans="1:13">
      <c r="A72" s="12" t="s">
        <v>694</v>
      </c>
      <c r="B72" s="13" t="s">
        <v>217</v>
      </c>
      <c r="C72" s="13" t="s">
        <v>695</v>
      </c>
      <c r="D72" s="13" t="s">
        <v>535</v>
      </c>
      <c r="E72" s="16" t="s">
        <v>696</v>
      </c>
      <c r="F72" s="16">
        <v>-0.0102</v>
      </c>
      <c r="G72" s="16">
        <v>0.014</v>
      </c>
      <c r="H72" s="16">
        <v>0.0328</v>
      </c>
      <c r="I72" s="27">
        <v>0.0191</v>
      </c>
      <c r="J72" s="16">
        <v>0.0186</v>
      </c>
      <c r="K72" s="16">
        <v>0.1028</v>
      </c>
      <c r="L72" s="16">
        <v>0.0889</v>
      </c>
      <c r="M72" s="29">
        <v>-0.01</v>
      </c>
    </row>
    <row r="73" ht="15.6" customHeight="1" spans="1:13">
      <c r="A73" s="12" t="s">
        <v>697</v>
      </c>
      <c r="B73" s="13" t="s">
        <v>156</v>
      </c>
      <c r="C73" s="13" t="s">
        <v>698</v>
      </c>
      <c r="D73" s="13" t="s">
        <v>535</v>
      </c>
      <c r="E73" s="16" t="s">
        <v>623</v>
      </c>
      <c r="F73" s="16">
        <v>-0.0109</v>
      </c>
      <c r="G73" s="16">
        <v>-0.0861</v>
      </c>
      <c r="H73" s="16">
        <v>-0.0548</v>
      </c>
      <c r="I73" s="27">
        <v>0.0596</v>
      </c>
      <c r="J73" s="16">
        <v>0.0861</v>
      </c>
      <c r="K73" s="16">
        <v>0.0861</v>
      </c>
      <c r="L73" s="16">
        <v>0.0692</v>
      </c>
      <c r="M73" s="29">
        <v>0.5731</v>
      </c>
    </row>
    <row r="74" ht="15.6" customHeight="1" spans="1:13">
      <c r="A74" s="12" t="s">
        <v>496</v>
      </c>
      <c r="B74" s="13" t="s">
        <v>54</v>
      </c>
      <c r="C74" s="13" t="s">
        <v>699</v>
      </c>
      <c r="D74" s="13" t="s">
        <v>535</v>
      </c>
      <c r="E74" s="16" t="s">
        <v>700</v>
      </c>
      <c r="F74" s="16">
        <v>-0.0109</v>
      </c>
      <c r="G74" s="16">
        <v>0.0374</v>
      </c>
      <c r="H74" s="16">
        <v>0.0575</v>
      </c>
      <c r="I74" s="27">
        <v>0.2341</v>
      </c>
      <c r="J74" s="16">
        <v>0.0135</v>
      </c>
      <c r="K74" s="16">
        <v>0.0135</v>
      </c>
      <c r="L74" s="16">
        <v>0.046</v>
      </c>
      <c r="M74" s="29">
        <v>4.6502</v>
      </c>
    </row>
    <row r="75" ht="15.6" customHeight="1" spans="1:13">
      <c r="A75" s="12" t="s">
        <v>480</v>
      </c>
      <c r="B75" s="13" t="s">
        <v>156</v>
      </c>
      <c r="C75" s="13" t="s">
        <v>701</v>
      </c>
      <c r="D75" s="13" t="s">
        <v>535</v>
      </c>
      <c r="E75" s="16" t="s">
        <v>702</v>
      </c>
      <c r="F75" s="16">
        <v>-0.0118</v>
      </c>
      <c r="G75" s="16">
        <v>0.0217</v>
      </c>
      <c r="H75" s="16">
        <v>0.0844</v>
      </c>
      <c r="I75" s="27">
        <v>0.1494</v>
      </c>
      <c r="J75" s="16">
        <v>0.0118</v>
      </c>
      <c r="K75" s="16">
        <v>0.0753</v>
      </c>
      <c r="L75" s="16">
        <v>0.0872</v>
      </c>
      <c r="M75" s="29">
        <v>1.4843</v>
      </c>
    </row>
    <row r="76" ht="15.6" customHeight="1" spans="1:13">
      <c r="A76" s="12" t="s">
        <v>491</v>
      </c>
      <c r="B76" s="13" t="s">
        <v>54</v>
      </c>
      <c r="C76" s="13" t="s">
        <v>703</v>
      </c>
      <c r="D76" s="13" t="s">
        <v>535</v>
      </c>
      <c r="E76" s="16" t="s">
        <v>493</v>
      </c>
      <c r="F76" s="16">
        <v>-0.0133</v>
      </c>
      <c r="G76" s="16">
        <v>0.0101</v>
      </c>
      <c r="H76" s="16">
        <v>0.0014</v>
      </c>
      <c r="I76" s="27">
        <v>0.1202</v>
      </c>
      <c r="J76" s="16">
        <v>0.0598</v>
      </c>
      <c r="K76" s="16">
        <v>0.0598</v>
      </c>
      <c r="L76" s="16">
        <v>0.07</v>
      </c>
      <c r="M76" s="29">
        <v>1.4312</v>
      </c>
    </row>
    <row r="77" ht="15.6" customHeight="1" spans="1:13">
      <c r="A77" s="12" t="s">
        <v>704</v>
      </c>
      <c r="B77" s="13" t="s">
        <v>30</v>
      </c>
      <c r="C77" s="13" t="s">
        <v>705</v>
      </c>
      <c r="D77" s="13" t="s">
        <v>535</v>
      </c>
      <c r="E77" s="16" t="s">
        <v>706</v>
      </c>
      <c r="F77" s="16">
        <v>-0.0135</v>
      </c>
      <c r="G77" s="16">
        <v>-0.1868</v>
      </c>
      <c r="H77" s="16">
        <v>-0.1004</v>
      </c>
      <c r="I77" s="27">
        <v>-0.0739</v>
      </c>
      <c r="J77" s="16">
        <v>0.1868</v>
      </c>
      <c r="K77" s="16">
        <v>0.1868</v>
      </c>
      <c r="L77" s="16">
        <v>0.197</v>
      </c>
      <c r="M77" s="29">
        <v>-0.4767</v>
      </c>
    </row>
    <row r="78" ht="15.6" customHeight="1" spans="1:13">
      <c r="A78" s="12" t="s">
        <v>707</v>
      </c>
      <c r="B78" s="13" t="s">
        <v>156</v>
      </c>
      <c r="C78" s="13" t="s">
        <v>708</v>
      </c>
      <c r="D78" s="13" t="s">
        <v>535</v>
      </c>
      <c r="E78" s="16" t="s">
        <v>709</v>
      </c>
      <c r="F78" s="16">
        <v>-0.0158</v>
      </c>
      <c r="G78" s="16">
        <v>-0.0092</v>
      </c>
      <c r="H78" s="16">
        <v>-0.0051</v>
      </c>
      <c r="I78" s="27">
        <v>0.121</v>
      </c>
      <c r="J78" s="16">
        <v>0.0347</v>
      </c>
      <c r="K78" s="16">
        <v>0.1149</v>
      </c>
      <c r="L78" s="16">
        <v>0.0792</v>
      </c>
      <c r="M78" s="29">
        <v>1.2753</v>
      </c>
    </row>
    <row r="79" ht="15.6" customHeight="1" spans="1:13">
      <c r="A79" s="12" t="s">
        <v>525</v>
      </c>
      <c r="B79" s="13" t="s">
        <v>38</v>
      </c>
      <c r="C79" s="13" t="s">
        <v>710</v>
      </c>
      <c r="D79" s="13" t="s">
        <v>535</v>
      </c>
      <c r="E79" s="16" t="s">
        <v>312</v>
      </c>
      <c r="F79" s="16">
        <v>-0.0163</v>
      </c>
      <c r="G79" s="16">
        <v>0.1013</v>
      </c>
      <c r="H79" s="16">
        <v>0.0524</v>
      </c>
      <c r="I79" s="27">
        <v>0.1247</v>
      </c>
      <c r="J79" s="16">
        <v>0.0486</v>
      </c>
      <c r="K79" s="16">
        <v>0.1337</v>
      </c>
      <c r="L79" s="16">
        <v>0.1074</v>
      </c>
      <c r="M79" s="29">
        <v>0.9747</v>
      </c>
    </row>
    <row r="80" ht="15.6" customHeight="1" spans="1:13">
      <c r="A80" s="12" t="s">
        <v>472</v>
      </c>
      <c r="B80" s="13" t="s">
        <v>30</v>
      </c>
      <c r="C80" s="13" t="s">
        <v>711</v>
      </c>
      <c r="D80" s="13" t="s">
        <v>535</v>
      </c>
      <c r="E80" s="16" t="s">
        <v>712</v>
      </c>
      <c r="F80" s="16">
        <v>-0.0195</v>
      </c>
      <c r="G80" s="16">
        <v>-0.0253</v>
      </c>
      <c r="H80" s="16">
        <v>-0.0295</v>
      </c>
      <c r="I80" s="27">
        <v>0.1016</v>
      </c>
      <c r="J80" s="16">
        <v>0.0555</v>
      </c>
      <c r="K80" s="16">
        <v>0.116</v>
      </c>
      <c r="L80" s="16">
        <v>0.0828</v>
      </c>
      <c r="M80" s="29">
        <v>0.9861</v>
      </c>
    </row>
    <row r="81" ht="15.6" customHeight="1" spans="1:13">
      <c r="A81" s="12" t="s">
        <v>334</v>
      </c>
      <c r="B81" s="13" t="s">
        <v>61</v>
      </c>
      <c r="C81" s="13" t="s">
        <v>713</v>
      </c>
      <c r="D81" s="13" t="s">
        <v>535</v>
      </c>
      <c r="E81" s="16" t="s">
        <v>714</v>
      </c>
      <c r="F81" s="16">
        <v>-0.02</v>
      </c>
      <c r="G81" s="16">
        <v>0.0791</v>
      </c>
      <c r="H81" s="16">
        <v>0.0739</v>
      </c>
      <c r="I81" s="27">
        <v>0.1397</v>
      </c>
      <c r="J81" s="16">
        <v>0.0347</v>
      </c>
      <c r="K81" s="16">
        <v>0.0881</v>
      </c>
      <c r="L81" s="16">
        <v>0.0923</v>
      </c>
      <c r="M81" s="29">
        <v>1.2967</v>
      </c>
    </row>
    <row r="82" ht="15.6" customHeight="1" spans="1:13">
      <c r="A82" s="12" t="s">
        <v>715</v>
      </c>
      <c r="B82" s="13" t="s">
        <v>30</v>
      </c>
      <c r="C82" s="13" t="s">
        <v>716</v>
      </c>
      <c r="D82" s="13" t="s">
        <v>535</v>
      </c>
      <c r="E82" s="16" t="s">
        <v>717</v>
      </c>
      <c r="F82" s="16">
        <v>-0.0205</v>
      </c>
      <c r="G82" s="16">
        <v>0.0593</v>
      </c>
      <c r="H82" s="16">
        <v>0.0432</v>
      </c>
      <c r="I82" s="27">
        <v>0.0416</v>
      </c>
      <c r="J82" s="16">
        <v>0.0234</v>
      </c>
      <c r="K82" s="16">
        <v>0.0551</v>
      </c>
      <c r="L82" s="16">
        <v>0.0574</v>
      </c>
      <c r="M82" s="29">
        <v>0.3762</v>
      </c>
    </row>
    <row r="83" ht="15.6" customHeight="1" spans="1:13">
      <c r="A83" s="12" t="s">
        <v>504</v>
      </c>
      <c r="B83" s="13" t="s">
        <v>156</v>
      </c>
      <c r="C83" s="13" t="s">
        <v>718</v>
      </c>
      <c r="D83" s="13" t="s">
        <v>535</v>
      </c>
      <c r="E83" s="16" t="s">
        <v>719</v>
      </c>
      <c r="F83" s="16">
        <v>-0.0213</v>
      </c>
      <c r="G83" s="16">
        <v>0.0539</v>
      </c>
      <c r="H83" s="16">
        <v>0.088</v>
      </c>
      <c r="I83" s="27">
        <v>0.248</v>
      </c>
      <c r="J83" s="16">
        <v>0.0213</v>
      </c>
      <c r="K83" s="16">
        <v>0.055</v>
      </c>
      <c r="L83" s="16">
        <v>0.0737</v>
      </c>
      <c r="M83" s="29">
        <v>3.0924</v>
      </c>
    </row>
    <row r="84" ht="15.6" customHeight="1" spans="1:13">
      <c r="A84" s="12" t="s">
        <v>522</v>
      </c>
      <c r="B84" s="13" t="s">
        <v>54</v>
      </c>
      <c r="C84" s="13" t="s">
        <v>720</v>
      </c>
      <c r="D84" s="13" t="s">
        <v>535</v>
      </c>
      <c r="E84" s="16" t="s">
        <v>721</v>
      </c>
      <c r="F84" s="16">
        <v>-0.0272</v>
      </c>
      <c r="G84" s="16">
        <v>0.1108</v>
      </c>
      <c r="H84" s="16">
        <v>0.0896</v>
      </c>
      <c r="I84" s="27">
        <v>0.2417</v>
      </c>
      <c r="J84" s="16">
        <v>0.0555</v>
      </c>
      <c r="K84" s="16">
        <v>0.2206</v>
      </c>
      <c r="L84" s="16">
        <v>0.162</v>
      </c>
      <c r="M84" s="29">
        <v>1.3686</v>
      </c>
    </row>
    <row r="85" ht="15.6" customHeight="1" spans="1:13">
      <c r="A85" s="12" t="s">
        <v>449</v>
      </c>
      <c r="B85" s="13" t="s">
        <v>156</v>
      </c>
      <c r="C85" s="13" t="s">
        <v>722</v>
      </c>
      <c r="D85" s="13" t="s">
        <v>535</v>
      </c>
      <c r="E85" s="16" t="s">
        <v>723</v>
      </c>
      <c r="F85" s="16">
        <v>-0.0583</v>
      </c>
      <c r="G85" s="16">
        <v>-0.0491</v>
      </c>
      <c r="H85" s="16">
        <v>-0.0199</v>
      </c>
      <c r="I85" s="27">
        <v>0.1366</v>
      </c>
      <c r="J85" s="16">
        <v>0.0698</v>
      </c>
      <c r="K85" s="16">
        <v>0.1353</v>
      </c>
      <c r="L85" s="16">
        <v>0.0929</v>
      </c>
      <c r="M85" s="29">
        <v>1.2552</v>
      </c>
    </row>
    <row r="86" ht="15.6" customHeight="1" spans="1:13">
      <c r="A86" s="12" t="s">
        <v>510</v>
      </c>
      <c r="B86" s="13" t="s">
        <v>38</v>
      </c>
      <c r="C86" s="13" t="s">
        <v>724</v>
      </c>
      <c r="D86" s="13" t="s">
        <v>535</v>
      </c>
      <c r="E86" s="16" t="s">
        <v>725</v>
      </c>
      <c r="F86" s="16">
        <v>-0.0776</v>
      </c>
      <c r="G86" s="16">
        <v>-0.1085</v>
      </c>
      <c r="H86" s="16"/>
      <c r="I86" s="27">
        <v>-0.2214</v>
      </c>
      <c r="J86" s="16"/>
      <c r="K86" s="16">
        <v>0.1257</v>
      </c>
      <c r="L86" s="16">
        <v>0.1368</v>
      </c>
      <c r="M86" s="29">
        <v>-1.7647</v>
      </c>
    </row>
    <row r="87" ht="15.6" customHeight="1" spans="1:13">
      <c r="A87" s="12"/>
      <c r="B87" s="13"/>
      <c r="C87" s="13"/>
      <c r="D87" s="13"/>
      <c r="E87" s="16"/>
      <c r="F87" s="16"/>
      <c r="G87" s="16"/>
      <c r="H87" s="16"/>
      <c r="I87" s="29"/>
      <c r="J87" s="16"/>
      <c r="K87" s="16"/>
      <c r="L87" s="16"/>
      <c r="M87" s="29"/>
    </row>
    <row r="88" ht="15.6" customHeight="1" spans="1:13">
      <c r="A88" s="12"/>
      <c r="B88" s="13"/>
      <c r="C88" s="13"/>
      <c r="D88" s="13"/>
      <c r="E88" s="16"/>
      <c r="F88" s="16"/>
      <c r="G88" s="16"/>
      <c r="H88" s="16"/>
      <c r="I88" s="29"/>
      <c r="J88" s="16"/>
      <c r="K88" s="16"/>
      <c r="L88" s="16"/>
      <c r="M88" s="29"/>
    </row>
    <row r="89" ht="15.6" customHeight="1" spans="1:13">
      <c r="A89" s="12"/>
      <c r="B89" s="13"/>
      <c r="C89" s="13"/>
      <c r="D89" s="13"/>
      <c r="E89" s="16"/>
      <c r="F89" s="16"/>
      <c r="G89" s="16"/>
      <c r="H89" s="16"/>
      <c r="I89" s="29"/>
      <c r="J89" s="16"/>
      <c r="K89" s="16"/>
      <c r="L89" s="16"/>
      <c r="M89" s="29"/>
    </row>
    <row r="90" ht="15.6" customHeight="1" spans="1:13">
      <c r="A90" s="12"/>
      <c r="B90" s="13"/>
      <c r="C90" s="13"/>
      <c r="D90" s="13"/>
      <c r="E90" s="16"/>
      <c r="F90" s="16"/>
      <c r="G90" s="16"/>
      <c r="H90" s="16"/>
      <c r="I90" s="29"/>
      <c r="J90" s="16"/>
      <c r="K90" s="16"/>
      <c r="L90" s="16"/>
      <c r="M90" s="29"/>
    </row>
    <row r="91" ht="15.6" customHeight="1" spans="1:13">
      <c r="A91" s="12"/>
      <c r="B91" s="13"/>
      <c r="C91" s="13"/>
      <c r="D91" s="13"/>
      <c r="E91" s="16"/>
      <c r="F91" s="16"/>
      <c r="G91" s="16"/>
      <c r="H91" s="16"/>
      <c r="I91" s="29"/>
      <c r="J91" s="16"/>
      <c r="K91" s="16"/>
      <c r="L91" s="16"/>
      <c r="M91" s="29"/>
    </row>
    <row r="92" ht="15.6" customHeight="1" spans="1:13">
      <c r="A92" s="12"/>
      <c r="B92" s="13"/>
      <c r="C92" s="13"/>
      <c r="D92" s="13"/>
      <c r="E92" s="16"/>
      <c r="F92" s="16"/>
      <c r="G92" s="16"/>
      <c r="H92" s="16"/>
      <c r="I92" s="29"/>
      <c r="J92" s="16"/>
      <c r="K92" s="16"/>
      <c r="L92" s="16"/>
      <c r="M92" s="29"/>
    </row>
    <row r="93" ht="15.6" customHeight="1" spans="1:13">
      <c r="A93" s="12"/>
      <c r="B93" s="13"/>
      <c r="C93" s="13"/>
      <c r="D93" s="13"/>
      <c r="E93" s="16"/>
      <c r="F93" s="16"/>
      <c r="G93" s="16"/>
      <c r="H93" s="16"/>
      <c r="I93" s="29"/>
      <c r="J93" s="16"/>
      <c r="K93" s="16"/>
      <c r="L93" s="16"/>
      <c r="M93" s="29"/>
    </row>
    <row r="94" ht="15.6" customHeight="1" spans="1:13">
      <c r="A94" s="12"/>
      <c r="B94" s="13"/>
      <c r="C94" s="13"/>
      <c r="D94" s="13"/>
      <c r="E94" s="16"/>
      <c r="F94" s="16"/>
      <c r="G94" s="16"/>
      <c r="H94" s="16"/>
      <c r="I94" s="29"/>
      <c r="J94" s="16"/>
      <c r="K94" s="16"/>
      <c r="L94" s="16"/>
      <c r="M94" s="29"/>
    </row>
    <row r="95" ht="15.6" customHeight="1" spans="1:13">
      <c r="A95" s="12"/>
      <c r="B95" s="13"/>
      <c r="C95" s="13"/>
      <c r="D95" s="13"/>
      <c r="E95" s="16"/>
      <c r="F95" s="16"/>
      <c r="G95" s="16"/>
      <c r="H95" s="16"/>
      <c r="I95" s="29"/>
      <c r="J95" s="16"/>
      <c r="K95" s="16"/>
      <c r="L95" s="16"/>
      <c r="M95" s="29"/>
    </row>
    <row r="96" ht="15.6" customHeight="1" spans="1:13">
      <c r="A96" s="12"/>
      <c r="B96" s="13"/>
      <c r="C96" s="13"/>
      <c r="D96" s="13"/>
      <c r="E96" s="16"/>
      <c r="F96" s="16"/>
      <c r="G96" s="16"/>
      <c r="H96" s="16"/>
      <c r="I96" s="29"/>
      <c r="J96" s="16"/>
      <c r="K96" s="16"/>
      <c r="L96" s="16"/>
      <c r="M96" s="29"/>
    </row>
    <row r="97" ht="15.6" customHeight="1" spans="1:13">
      <c r="A97" s="12"/>
      <c r="B97" s="13"/>
      <c r="C97" s="13"/>
      <c r="D97" s="13"/>
      <c r="E97" s="16"/>
      <c r="F97" s="16"/>
      <c r="G97" s="16"/>
      <c r="H97" s="16"/>
      <c r="I97" s="29"/>
      <c r="J97" s="16"/>
      <c r="K97" s="16"/>
      <c r="L97" s="16"/>
      <c r="M97" s="29"/>
    </row>
    <row r="98" ht="15.6" customHeight="1" spans="1:13">
      <c r="A98" s="12"/>
      <c r="B98" s="13"/>
      <c r="C98" s="13"/>
      <c r="D98" s="13"/>
      <c r="E98" s="16"/>
      <c r="F98" s="16"/>
      <c r="G98" s="16"/>
      <c r="H98" s="16"/>
      <c r="I98" s="29"/>
      <c r="J98" s="16"/>
      <c r="K98" s="16"/>
      <c r="L98" s="16"/>
      <c r="M98" s="29"/>
    </row>
    <row r="99" ht="15.6" customHeight="1" spans="1:13">
      <c r="A99" s="12"/>
      <c r="B99" s="13"/>
      <c r="C99" s="13"/>
      <c r="D99" s="13"/>
      <c r="E99" s="16"/>
      <c r="F99" s="16"/>
      <c r="G99" s="16"/>
      <c r="H99" s="16"/>
      <c r="I99" s="29"/>
      <c r="J99" s="16"/>
      <c r="K99" s="16"/>
      <c r="L99" s="16"/>
      <c r="M99" s="29"/>
    </row>
    <row r="100" ht="15.6" customHeight="1" spans="1:13">
      <c r="A100" s="12"/>
      <c r="B100" s="13"/>
      <c r="C100" s="13"/>
      <c r="D100" s="13"/>
      <c r="E100" s="16"/>
      <c r="F100" s="16"/>
      <c r="G100" s="16"/>
      <c r="H100" s="16"/>
      <c r="I100" s="29"/>
      <c r="J100" s="16"/>
      <c r="K100" s="16"/>
      <c r="L100" s="16"/>
      <c r="M100" s="29"/>
    </row>
  </sheetData>
  <mergeCells count="4">
    <mergeCell ref="A1:B1"/>
    <mergeCell ref="C1:E1"/>
    <mergeCell ref="F1:I1"/>
    <mergeCell ref="J1:K1"/>
  </mergeCells>
  <conditionalFormatting sqref="A3:E100 J3:M100">
    <cfRule type="expression" dxfId="0" priority="2">
      <formula>MOD(ROW(),2)=0</formula>
    </cfRule>
  </conditionalFormatting>
  <conditionalFormatting sqref="F3:I100">
    <cfRule type="expression" dxfId="0" priority="1">
      <formula>MOD(ROW(),2)=0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W100"/>
  <sheetViews>
    <sheetView workbookViewId="0">
      <pane ySplit="2" topLeftCell="A3" activePane="bottomLeft" state="frozen"/>
      <selection/>
      <selection pane="bottomLeft" activeCell="N2" sqref="N2"/>
    </sheetView>
  </sheetViews>
  <sheetFormatPr defaultColWidth="9" defaultRowHeight="14.4"/>
  <sheetData>
    <row r="1" ht="31.2" customHeight="1" spans="1:23">
      <c r="A1" s="1" t="s">
        <v>0</v>
      </c>
      <c r="B1" s="2"/>
      <c r="C1" s="3" t="s">
        <v>1</v>
      </c>
      <c r="D1" s="4"/>
      <c r="E1" s="5"/>
      <c r="F1" s="6" t="s">
        <v>2</v>
      </c>
      <c r="G1" s="7"/>
      <c r="H1" s="7"/>
      <c r="I1" s="2"/>
      <c r="J1" s="17" t="s">
        <v>3</v>
      </c>
      <c r="K1" s="2"/>
      <c r="L1" s="18" t="s">
        <v>4</v>
      </c>
      <c r="M1" s="19" t="s">
        <v>5</v>
      </c>
      <c r="N1" s="20" t="s">
        <v>6</v>
      </c>
      <c r="O1" s="21" t="s">
        <v>7</v>
      </c>
      <c r="P1" s="21" t="s">
        <v>8</v>
      </c>
      <c r="Q1" s="21" t="s">
        <v>9</v>
      </c>
      <c r="R1" s="30" t="s">
        <v>10</v>
      </c>
      <c r="S1" s="31" t="s">
        <v>11</v>
      </c>
      <c r="T1" s="32" t="s">
        <v>12</v>
      </c>
      <c r="U1" s="32" t="s">
        <v>13</v>
      </c>
      <c r="V1" s="32" t="s">
        <v>14</v>
      </c>
      <c r="W1" s="33" t="s">
        <v>15</v>
      </c>
    </row>
    <row r="2" ht="47.55" customHeight="1" spans="1:23">
      <c r="A2" s="8" t="s">
        <v>16</v>
      </c>
      <c r="B2" s="9" t="s">
        <v>17</v>
      </c>
      <c r="C2" s="10" t="s">
        <v>18</v>
      </c>
      <c r="D2" s="10" t="s">
        <v>19</v>
      </c>
      <c r="E2" s="10" t="s">
        <v>20</v>
      </c>
      <c r="F2" s="11" t="s">
        <v>270</v>
      </c>
      <c r="G2" s="11" t="s">
        <v>271</v>
      </c>
      <c r="H2" s="11" t="s">
        <v>272</v>
      </c>
      <c r="I2" s="11" t="s">
        <v>273</v>
      </c>
      <c r="J2" s="22" t="s">
        <v>274</v>
      </c>
      <c r="K2" s="22" t="s">
        <v>275</v>
      </c>
      <c r="L2" s="23" t="s">
        <v>276</v>
      </c>
      <c r="M2" s="24" t="s">
        <v>277</v>
      </c>
      <c r="N2" s="25">
        <f>QUARTILE(F3:F200,4)</f>
        <v>0.0395</v>
      </c>
      <c r="O2" s="26">
        <f>QUARTILE(F3:F200,3)</f>
        <v>0.015275</v>
      </c>
      <c r="P2" s="26">
        <f>QUARTILE(F3:F200,2)</f>
        <v>0.00375</v>
      </c>
      <c r="Q2" s="26">
        <f>QUARTILE(F3:F200,1)</f>
        <v>-0.00265</v>
      </c>
      <c r="R2" s="34">
        <f>QUARTILE(F3:F200,0)</f>
        <v>-0.0255</v>
      </c>
      <c r="S2" s="25">
        <f>QUARTILE(H3:H200,4)</f>
        <v>0.1914</v>
      </c>
      <c r="T2" s="26">
        <f>QUARTILE(H3:H200,3)</f>
        <v>0.1407</v>
      </c>
      <c r="U2" s="26">
        <f>QUARTILE(H3:H200,2)</f>
        <v>0.0947</v>
      </c>
      <c r="V2" s="26">
        <f>QUARTILE(H3:H200,1)</f>
        <v>0.02815</v>
      </c>
      <c r="W2" s="34">
        <f>QUARTILE(H3:H200,0)</f>
        <v>-0.1314</v>
      </c>
    </row>
    <row r="3" ht="15.6" customHeight="1" spans="1:13">
      <c r="A3" s="12" t="s">
        <v>726</v>
      </c>
      <c r="B3" s="13" t="s">
        <v>61</v>
      </c>
      <c r="C3" s="14" t="s">
        <v>727</v>
      </c>
      <c r="D3" s="14" t="s">
        <v>728</v>
      </c>
      <c r="E3" s="15" t="s">
        <v>729</v>
      </c>
      <c r="F3" s="16">
        <v>0.0395</v>
      </c>
      <c r="G3" s="16">
        <v>0.0763</v>
      </c>
      <c r="H3" s="16">
        <v>0.1673</v>
      </c>
      <c r="I3" s="27">
        <v>0.2921</v>
      </c>
      <c r="J3" s="16">
        <v>0.0215</v>
      </c>
      <c r="K3" s="16">
        <v>0.0368</v>
      </c>
      <c r="L3" s="16">
        <v>0.1071</v>
      </c>
      <c r="M3" s="29">
        <v>2.541</v>
      </c>
    </row>
    <row r="4" ht="15.6" customHeight="1" spans="1:13">
      <c r="A4" s="12" t="s">
        <v>285</v>
      </c>
      <c r="B4" s="13" t="s">
        <v>61</v>
      </c>
      <c r="C4" s="13" t="s">
        <v>730</v>
      </c>
      <c r="D4" s="13" t="s">
        <v>728</v>
      </c>
      <c r="E4" s="16" t="s">
        <v>731</v>
      </c>
      <c r="F4" s="16">
        <v>0.0318</v>
      </c>
      <c r="G4" s="16">
        <v>0.07</v>
      </c>
      <c r="H4" s="16">
        <v>0.1226</v>
      </c>
      <c r="I4" s="27">
        <v>-0.0437</v>
      </c>
      <c r="J4" s="16">
        <v>0.0161</v>
      </c>
      <c r="K4" s="16">
        <v>0.1916</v>
      </c>
      <c r="L4" s="16">
        <v>0.1176</v>
      </c>
      <c r="M4" s="29">
        <v>-0.5419</v>
      </c>
    </row>
    <row r="5" ht="15.6" customHeight="1" spans="1:13">
      <c r="A5" s="12" t="s">
        <v>426</v>
      </c>
      <c r="B5" s="13" t="s">
        <v>156</v>
      </c>
      <c r="C5" s="13" t="s">
        <v>732</v>
      </c>
      <c r="D5" s="13" t="s">
        <v>728</v>
      </c>
      <c r="E5" s="16" t="s">
        <v>733</v>
      </c>
      <c r="F5" s="16">
        <v>0.0244</v>
      </c>
      <c r="G5" s="16">
        <v>0.0946</v>
      </c>
      <c r="H5" s="16">
        <v>0.1094</v>
      </c>
      <c r="I5" s="27">
        <v>0.2167</v>
      </c>
      <c r="J5" s="16">
        <v>0.0225</v>
      </c>
      <c r="K5" s="16">
        <v>0.1196</v>
      </c>
      <c r="L5" s="16">
        <v>0.1001</v>
      </c>
      <c r="M5" s="29">
        <v>1.9658</v>
      </c>
    </row>
    <row r="6" ht="15.6" customHeight="1" spans="1:13">
      <c r="A6" s="12" t="s">
        <v>310</v>
      </c>
      <c r="B6" s="13" t="s">
        <v>156</v>
      </c>
      <c r="C6" s="13" t="s">
        <v>734</v>
      </c>
      <c r="D6" s="13" t="s">
        <v>728</v>
      </c>
      <c r="E6" s="16" t="s">
        <v>735</v>
      </c>
      <c r="F6" s="16">
        <v>0.0227</v>
      </c>
      <c r="G6" s="16">
        <v>0.0486</v>
      </c>
      <c r="H6" s="16">
        <v>0.0798</v>
      </c>
      <c r="I6" s="27">
        <v>0.3016</v>
      </c>
      <c r="J6" s="16">
        <v>0.0212</v>
      </c>
      <c r="K6" s="16">
        <v>0.0212</v>
      </c>
      <c r="L6" s="16">
        <v>0.0845</v>
      </c>
      <c r="M6" s="29">
        <v>3.334</v>
      </c>
    </row>
    <row r="7" ht="15.6" customHeight="1" spans="1:13">
      <c r="A7" s="12" t="s">
        <v>374</v>
      </c>
      <c r="B7" s="13" t="s">
        <v>217</v>
      </c>
      <c r="C7" s="13" t="s">
        <v>736</v>
      </c>
      <c r="D7" s="13" t="s">
        <v>728</v>
      </c>
      <c r="E7" s="16" t="s">
        <v>737</v>
      </c>
      <c r="F7" s="16">
        <v>0.0205</v>
      </c>
      <c r="G7" s="16">
        <v>-0.1286</v>
      </c>
      <c r="H7" s="16">
        <v>-0.1314</v>
      </c>
      <c r="I7" s="27">
        <v>-0.1741</v>
      </c>
      <c r="J7" s="16">
        <v>0.1636</v>
      </c>
      <c r="K7" s="16">
        <v>0.1881</v>
      </c>
      <c r="L7" s="16">
        <v>0.1166</v>
      </c>
      <c r="M7" s="29">
        <v>-1.6653</v>
      </c>
    </row>
    <row r="8" ht="15.6" customHeight="1" spans="1:13">
      <c r="A8" s="12" t="s">
        <v>440</v>
      </c>
      <c r="B8" s="13" t="s">
        <v>156</v>
      </c>
      <c r="C8" s="13" t="s">
        <v>738</v>
      </c>
      <c r="D8" s="13" t="s">
        <v>728</v>
      </c>
      <c r="E8" s="16" t="s">
        <v>739</v>
      </c>
      <c r="F8" s="16">
        <v>0.0167</v>
      </c>
      <c r="G8" s="16">
        <v>-0.0478</v>
      </c>
      <c r="H8" s="16">
        <v>-0.0192</v>
      </c>
      <c r="I8" s="27">
        <v>0.1258</v>
      </c>
      <c r="J8" s="16">
        <v>0.0669</v>
      </c>
      <c r="K8" s="16">
        <v>0.0669</v>
      </c>
      <c r="L8" s="16">
        <v>0.0597</v>
      </c>
      <c r="M8" s="29">
        <v>1.7718</v>
      </c>
    </row>
    <row r="9" ht="15.6" customHeight="1" spans="1:13">
      <c r="A9" s="12" t="s">
        <v>282</v>
      </c>
      <c r="B9" s="13" t="s">
        <v>156</v>
      </c>
      <c r="C9" s="13" t="s">
        <v>740</v>
      </c>
      <c r="D9" s="13" t="s">
        <v>728</v>
      </c>
      <c r="E9" s="16" t="s">
        <v>540</v>
      </c>
      <c r="F9" s="16">
        <v>0.0148</v>
      </c>
      <c r="G9" s="16">
        <v>0.0068</v>
      </c>
      <c r="H9" s="16">
        <v>0.0438</v>
      </c>
      <c r="I9" s="27">
        <v>0.1928</v>
      </c>
      <c r="J9" s="16">
        <v>0.0388</v>
      </c>
      <c r="K9" s="16">
        <v>0.0575</v>
      </c>
      <c r="L9" s="16">
        <v>0.0668</v>
      </c>
      <c r="M9" s="29">
        <v>2.5874</v>
      </c>
    </row>
    <row r="10" ht="15.6" customHeight="1" spans="1:13">
      <c r="A10" s="12" t="s">
        <v>337</v>
      </c>
      <c r="B10" s="13" t="s">
        <v>156</v>
      </c>
      <c r="C10" s="13" t="s">
        <v>741</v>
      </c>
      <c r="D10" s="13" t="s">
        <v>728</v>
      </c>
      <c r="E10" s="16" t="s">
        <v>742</v>
      </c>
      <c r="F10" s="16">
        <v>0.0106</v>
      </c>
      <c r="G10" s="16">
        <v>0.0296</v>
      </c>
      <c r="H10" s="16"/>
      <c r="I10" s="27">
        <v>0.194</v>
      </c>
      <c r="J10" s="16"/>
      <c r="K10" s="16">
        <v>0.0058</v>
      </c>
      <c r="L10" s="16">
        <v>0.0344</v>
      </c>
      <c r="M10" s="29">
        <v>5.0617</v>
      </c>
    </row>
    <row r="11" ht="15.6" customHeight="1" spans="1:13">
      <c r="A11" s="12" t="s">
        <v>382</v>
      </c>
      <c r="B11" s="13" t="s">
        <v>156</v>
      </c>
      <c r="C11" s="13" t="s">
        <v>743</v>
      </c>
      <c r="D11" s="13" t="s">
        <v>728</v>
      </c>
      <c r="E11" s="16" t="s">
        <v>744</v>
      </c>
      <c r="F11" s="16">
        <v>0.0076</v>
      </c>
      <c r="G11" s="16">
        <v>0.0663</v>
      </c>
      <c r="H11" s="16">
        <v>0.1215</v>
      </c>
      <c r="I11" s="27">
        <v>0.2201</v>
      </c>
      <c r="J11" s="16">
        <v>0</v>
      </c>
      <c r="K11" s="16">
        <v>0.0024</v>
      </c>
      <c r="L11" s="16">
        <v>0.0225</v>
      </c>
      <c r="M11" s="29">
        <v>8.8912</v>
      </c>
    </row>
    <row r="12" ht="15.6" customHeight="1" spans="1:13">
      <c r="A12" s="12" t="s">
        <v>745</v>
      </c>
      <c r="B12" s="13" t="s">
        <v>54</v>
      </c>
      <c r="C12" s="13" t="s">
        <v>746</v>
      </c>
      <c r="D12" s="13" t="s">
        <v>728</v>
      </c>
      <c r="E12" s="16" t="s">
        <v>747</v>
      </c>
      <c r="F12" s="16">
        <v>0.0072</v>
      </c>
      <c r="G12" s="16">
        <v>0.0544</v>
      </c>
      <c r="H12" s="16">
        <v>0.112</v>
      </c>
      <c r="I12" s="27">
        <v>0.091</v>
      </c>
      <c r="J12" s="16">
        <v>0</v>
      </c>
      <c r="K12" s="16">
        <v>0.0589</v>
      </c>
      <c r="L12" s="16">
        <v>0.0647</v>
      </c>
      <c r="M12" s="29">
        <v>1.0973</v>
      </c>
    </row>
    <row r="13" ht="15.6" customHeight="1" spans="1:13">
      <c r="A13" s="12" t="s">
        <v>477</v>
      </c>
      <c r="B13" s="13" t="s">
        <v>156</v>
      </c>
      <c r="C13" s="13" t="s">
        <v>748</v>
      </c>
      <c r="D13" s="13" t="s">
        <v>728</v>
      </c>
      <c r="E13" s="16" t="s">
        <v>749</v>
      </c>
      <c r="F13" s="16">
        <v>0.004</v>
      </c>
      <c r="G13" s="16">
        <v>0.1127</v>
      </c>
      <c r="H13" s="16">
        <v>0.1914</v>
      </c>
      <c r="I13" s="27">
        <v>0.4057</v>
      </c>
      <c r="J13" s="16">
        <v>0.0017</v>
      </c>
      <c r="K13" s="16">
        <v>0.0983</v>
      </c>
      <c r="L13" s="16">
        <v>0.1186</v>
      </c>
      <c r="M13" s="29">
        <v>3.2516</v>
      </c>
    </row>
    <row r="14" ht="15.6" customHeight="1" spans="1:13">
      <c r="A14" s="12" t="s">
        <v>496</v>
      </c>
      <c r="B14" s="13" t="s">
        <v>54</v>
      </c>
      <c r="C14" s="13" t="s">
        <v>750</v>
      </c>
      <c r="D14" s="13" t="s">
        <v>728</v>
      </c>
      <c r="E14" s="16" t="s">
        <v>751</v>
      </c>
      <c r="F14" s="16">
        <v>0.0038</v>
      </c>
      <c r="G14" s="16">
        <v>0.1277</v>
      </c>
      <c r="H14" s="16">
        <v>0.1792</v>
      </c>
      <c r="I14" s="27">
        <v>0.2457</v>
      </c>
      <c r="J14" s="16">
        <v>0.0561</v>
      </c>
      <c r="K14" s="16">
        <v>0.1733</v>
      </c>
      <c r="L14" s="16">
        <v>0.1547</v>
      </c>
      <c r="M14" s="29">
        <v>1.4592</v>
      </c>
    </row>
    <row r="15" ht="15.6" customHeight="1" spans="1:13">
      <c r="A15" s="12" t="s">
        <v>328</v>
      </c>
      <c r="B15" s="13" t="s">
        <v>217</v>
      </c>
      <c r="C15" s="13" t="s">
        <v>752</v>
      </c>
      <c r="D15" s="13" t="s">
        <v>728</v>
      </c>
      <c r="E15" s="16" t="s">
        <v>753</v>
      </c>
      <c r="F15" s="16">
        <v>0.0037</v>
      </c>
      <c r="G15" s="16">
        <v>0.0748</v>
      </c>
      <c r="H15" s="16">
        <v>0.101</v>
      </c>
      <c r="I15" s="27">
        <v>0.1556</v>
      </c>
      <c r="J15" s="16">
        <v>0.0128</v>
      </c>
      <c r="K15" s="16">
        <v>0.226</v>
      </c>
      <c r="L15" s="16">
        <v>0.1354</v>
      </c>
      <c r="M15" s="29">
        <v>1.002</v>
      </c>
    </row>
    <row r="16" ht="15.6" customHeight="1" spans="1:13">
      <c r="A16" s="12" t="s">
        <v>754</v>
      </c>
      <c r="B16" s="13" t="s">
        <v>30</v>
      </c>
      <c r="C16" s="13" t="s">
        <v>755</v>
      </c>
      <c r="D16" s="13" t="s">
        <v>728</v>
      </c>
      <c r="E16" s="16" t="s">
        <v>756</v>
      </c>
      <c r="F16" s="16">
        <v>0.0035</v>
      </c>
      <c r="G16" s="16">
        <v>0.025</v>
      </c>
      <c r="H16" s="16">
        <v>0.0579</v>
      </c>
      <c r="I16" s="27">
        <v>0.113</v>
      </c>
      <c r="J16" s="16">
        <v>0.0023</v>
      </c>
      <c r="K16" s="16">
        <v>0.0023</v>
      </c>
      <c r="L16" s="16">
        <v>0.0127</v>
      </c>
      <c r="M16" s="29">
        <v>7.3166</v>
      </c>
    </row>
    <row r="17" ht="15.6" customHeight="1" spans="1:13">
      <c r="A17" s="12" t="s">
        <v>316</v>
      </c>
      <c r="B17" s="13" t="s">
        <v>156</v>
      </c>
      <c r="C17" s="13" t="s">
        <v>757</v>
      </c>
      <c r="D17" s="13" t="s">
        <v>728</v>
      </c>
      <c r="E17" s="16" t="s">
        <v>758</v>
      </c>
      <c r="F17" s="16">
        <v>0.0012</v>
      </c>
      <c r="G17" s="16">
        <v>0.1067</v>
      </c>
      <c r="H17" s="16">
        <v>0.1588</v>
      </c>
      <c r="I17" s="27">
        <v>0.2449</v>
      </c>
      <c r="J17" s="16">
        <v>0.0129</v>
      </c>
      <c r="K17" s="16">
        <v>0.0855</v>
      </c>
      <c r="L17" s="16">
        <v>0.0865</v>
      </c>
      <c r="M17" s="29">
        <v>2.5992</v>
      </c>
    </row>
    <row r="18" ht="15.6" customHeight="1" spans="1:13">
      <c r="A18" s="12" t="s">
        <v>486</v>
      </c>
      <c r="B18" s="13" t="s">
        <v>217</v>
      </c>
      <c r="C18" s="13" t="s">
        <v>759</v>
      </c>
      <c r="D18" s="13" t="s">
        <v>728</v>
      </c>
      <c r="E18" s="16" t="s">
        <v>488</v>
      </c>
      <c r="F18" s="16">
        <v>-0.0017</v>
      </c>
      <c r="G18" s="16">
        <v>0.0573</v>
      </c>
      <c r="H18" s="16">
        <v>0.0947</v>
      </c>
      <c r="I18" s="27">
        <v>0.1721</v>
      </c>
      <c r="J18" s="16">
        <v>0.0103</v>
      </c>
      <c r="K18" s="16">
        <v>0.0216</v>
      </c>
      <c r="L18" s="16">
        <v>0.0466</v>
      </c>
      <c r="M18" s="29">
        <v>3.2668</v>
      </c>
    </row>
    <row r="19" ht="15.6" customHeight="1" spans="1:13">
      <c r="A19" s="12" t="s">
        <v>760</v>
      </c>
      <c r="B19" s="13" t="s">
        <v>217</v>
      </c>
      <c r="C19" s="13" t="s">
        <v>761</v>
      </c>
      <c r="D19" s="13" t="s">
        <v>728</v>
      </c>
      <c r="E19" s="16" t="s">
        <v>179</v>
      </c>
      <c r="F19" s="16">
        <v>-0.0021</v>
      </c>
      <c r="G19" s="16">
        <v>0.0094</v>
      </c>
      <c r="H19" s="16">
        <v>-0.0493</v>
      </c>
      <c r="I19" s="27">
        <v>0.0317</v>
      </c>
      <c r="J19" s="16">
        <v>0.0969</v>
      </c>
      <c r="K19" s="16">
        <v>0.3165</v>
      </c>
      <c r="L19" s="16">
        <v>0.1151</v>
      </c>
      <c r="M19" s="29">
        <v>0.102</v>
      </c>
    </row>
    <row r="20" ht="15.6" customHeight="1" spans="1:13">
      <c r="A20" s="12" t="s">
        <v>762</v>
      </c>
      <c r="B20" s="13" t="s">
        <v>156</v>
      </c>
      <c r="C20" s="13" t="s">
        <v>763</v>
      </c>
      <c r="D20" s="13" t="s">
        <v>728</v>
      </c>
      <c r="E20" s="16" t="s">
        <v>764</v>
      </c>
      <c r="F20" s="16">
        <v>-0.0026</v>
      </c>
      <c r="G20" s="16">
        <v>-0.0068</v>
      </c>
      <c r="H20" s="16">
        <v>-0.0001</v>
      </c>
      <c r="I20" s="27">
        <v>0.0133</v>
      </c>
      <c r="J20" s="16">
        <v>0.0131</v>
      </c>
      <c r="K20" s="16">
        <v>0.0131</v>
      </c>
      <c r="L20" s="16">
        <v>0.0211</v>
      </c>
      <c r="M20" s="29">
        <v>-0.3149</v>
      </c>
    </row>
    <row r="21" ht="15.6" customHeight="1" spans="1:13">
      <c r="A21" s="12" t="s">
        <v>297</v>
      </c>
      <c r="B21" s="13" t="s">
        <v>156</v>
      </c>
      <c r="C21" s="13" t="s">
        <v>765</v>
      </c>
      <c r="D21" s="13" t="s">
        <v>728</v>
      </c>
      <c r="E21" s="16" t="s">
        <v>299</v>
      </c>
      <c r="F21" s="16">
        <v>-0.0028</v>
      </c>
      <c r="G21" s="16">
        <v>-0.0185</v>
      </c>
      <c r="H21" s="16">
        <v>-0.0196</v>
      </c>
      <c r="I21" s="27">
        <v>0.1191</v>
      </c>
      <c r="J21" s="16">
        <v>0.0366</v>
      </c>
      <c r="K21" s="16">
        <v>0.0866</v>
      </c>
      <c r="L21" s="16">
        <v>0.0673</v>
      </c>
      <c r="M21" s="29">
        <v>1.4727</v>
      </c>
    </row>
    <row r="22" ht="15.6" customHeight="1" spans="1:13">
      <c r="A22" s="12" t="s">
        <v>766</v>
      </c>
      <c r="B22" s="13" t="s">
        <v>38</v>
      </c>
      <c r="C22" s="13" t="s">
        <v>767</v>
      </c>
      <c r="D22" s="13" t="s">
        <v>728</v>
      </c>
      <c r="E22" s="16" t="s">
        <v>768</v>
      </c>
      <c r="F22" s="16">
        <v>-0.0066</v>
      </c>
      <c r="G22" s="16">
        <v>-0.0087</v>
      </c>
      <c r="H22" s="16">
        <v>0.0311</v>
      </c>
      <c r="I22" s="27">
        <v>0.0139</v>
      </c>
      <c r="J22" s="16">
        <v>0.0476</v>
      </c>
      <c r="K22" s="16">
        <v>0.0476</v>
      </c>
      <c r="L22" s="16">
        <v>0.0763</v>
      </c>
      <c r="M22" s="29">
        <v>-0.0799</v>
      </c>
    </row>
    <row r="23" ht="15.6" customHeight="1" spans="1:13">
      <c r="A23" s="12" t="s">
        <v>664</v>
      </c>
      <c r="B23" s="13" t="s">
        <v>30</v>
      </c>
      <c r="C23" s="13" t="s">
        <v>769</v>
      </c>
      <c r="D23" s="13" t="s">
        <v>728</v>
      </c>
      <c r="E23" s="16" t="s">
        <v>770</v>
      </c>
      <c r="F23" s="16">
        <v>-0.01</v>
      </c>
      <c r="G23" s="16"/>
      <c r="H23" s="16">
        <v>0.0362</v>
      </c>
      <c r="I23" s="27">
        <v>0.181</v>
      </c>
      <c r="J23" s="16">
        <v>0.0217</v>
      </c>
      <c r="K23" s="16">
        <v>0.0217</v>
      </c>
      <c r="L23" s="16">
        <v>0.1225</v>
      </c>
      <c r="M23" s="29">
        <v>1.3142</v>
      </c>
    </row>
    <row r="24" ht="15.6" customHeight="1" spans="1:13">
      <c r="A24" s="12" t="s">
        <v>431</v>
      </c>
      <c r="B24" s="13" t="s">
        <v>217</v>
      </c>
      <c r="C24" s="13" t="s">
        <v>771</v>
      </c>
      <c r="D24" s="13" t="s">
        <v>728</v>
      </c>
      <c r="E24" s="16" t="s">
        <v>772</v>
      </c>
      <c r="F24" s="16">
        <v>-0.0144</v>
      </c>
      <c r="G24" s="16">
        <v>0.1438</v>
      </c>
      <c r="H24" s="16">
        <v>0.1672</v>
      </c>
      <c r="I24" s="27">
        <v>0.2671</v>
      </c>
      <c r="J24" s="16">
        <v>0.0313</v>
      </c>
      <c r="K24" s="16">
        <v>0.1398</v>
      </c>
      <c r="L24" s="16">
        <v>0.185</v>
      </c>
      <c r="M24" s="29">
        <v>1.3351</v>
      </c>
    </row>
    <row r="25" ht="15.6" customHeight="1" spans="1:13">
      <c r="A25" s="12" t="s">
        <v>773</v>
      </c>
      <c r="B25" s="13" t="s">
        <v>217</v>
      </c>
      <c r="C25" s="13" t="s">
        <v>774</v>
      </c>
      <c r="D25" s="13" t="s">
        <v>728</v>
      </c>
      <c r="E25" s="16" t="s">
        <v>739</v>
      </c>
      <c r="F25" s="16">
        <v>-0.0152</v>
      </c>
      <c r="G25" s="16">
        <v>0.0669</v>
      </c>
      <c r="H25" s="16">
        <v>0.1709</v>
      </c>
      <c r="I25" s="27">
        <v>0.1116</v>
      </c>
      <c r="J25" s="16">
        <v>0.016</v>
      </c>
      <c r="K25" s="16">
        <v>0.3425</v>
      </c>
      <c r="L25" s="16">
        <v>0.2371</v>
      </c>
      <c r="M25" s="29">
        <v>0.3863</v>
      </c>
    </row>
    <row r="26" ht="15.6" customHeight="1" spans="1:13">
      <c r="A26" s="12" t="s">
        <v>525</v>
      </c>
      <c r="B26" s="13" t="s">
        <v>38</v>
      </c>
      <c r="C26" s="13" t="s">
        <v>775</v>
      </c>
      <c r="D26" s="13" t="s">
        <v>728</v>
      </c>
      <c r="E26" s="16" t="s">
        <v>776</v>
      </c>
      <c r="F26" s="16">
        <v>-0.0255</v>
      </c>
      <c r="G26" s="16">
        <v>0.0796</v>
      </c>
      <c r="H26" s="16">
        <v>0.0252</v>
      </c>
      <c r="I26" s="27">
        <v>0.0801</v>
      </c>
      <c r="J26" s="16">
        <v>0.0504</v>
      </c>
      <c r="K26" s="16">
        <v>0.1298</v>
      </c>
      <c r="L26" s="16">
        <v>0.1086</v>
      </c>
      <c r="M26" s="29">
        <v>0.5535</v>
      </c>
    </row>
    <row r="27" ht="15.6" customHeight="1" spans="1:13">
      <c r="A27" s="12"/>
      <c r="B27" s="13"/>
      <c r="C27" s="13"/>
      <c r="D27" s="13"/>
      <c r="E27" s="16"/>
      <c r="F27" s="16"/>
      <c r="G27" s="16"/>
      <c r="H27" s="16"/>
      <c r="I27" s="29"/>
      <c r="J27" s="16"/>
      <c r="K27" s="16"/>
      <c r="L27" s="16"/>
      <c r="M27" s="29"/>
    </row>
    <row r="28" ht="15.6" customHeight="1" spans="1:13">
      <c r="A28" s="12"/>
      <c r="B28" s="13"/>
      <c r="C28" s="13"/>
      <c r="D28" s="13"/>
      <c r="E28" s="16"/>
      <c r="F28" s="16"/>
      <c r="G28" s="16"/>
      <c r="H28" s="16"/>
      <c r="I28" s="29"/>
      <c r="J28" s="16"/>
      <c r="K28" s="16"/>
      <c r="L28" s="16"/>
      <c r="M28" s="29"/>
    </row>
    <row r="29" ht="15.6" customHeight="1" spans="1:13">
      <c r="A29" s="12"/>
      <c r="B29" s="13"/>
      <c r="C29" s="13"/>
      <c r="D29" s="13"/>
      <c r="E29" s="16"/>
      <c r="F29" s="16"/>
      <c r="G29" s="16"/>
      <c r="H29" s="16"/>
      <c r="I29" s="29"/>
      <c r="J29" s="16"/>
      <c r="K29" s="16"/>
      <c r="L29" s="16"/>
      <c r="M29" s="29"/>
    </row>
    <row r="30" ht="15.6" customHeight="1" spans="1:13">
      <c r="A30" s="12"/>
      <c r="B30" s="13"/>
      <c r="C30" s="13"/>
      <c r="D30" s="13"/>
      <c r="E30" s="16"/>
      <c r="F30" s="16"/>
      <c r="G30" s="16"/>
      <c r="H30" s="16"/>
      <c r="I30" s="29"/>
      <c r="J30" s="16"/>
      <c r="K30" s="16"/>
      <c r="L30" s="16"/>
      <c r="M30" s="29"/>
    </row>
    <row r="31" ht="15.6" customHeight="1" spans="1:13">
      <c r="A31" s="12"/>
      <c r="B31" s="13"/>
      <c r="C31" s="13"/>
      <c r="D31" s="13"/>
      <c r="E31" s="16"/>
      <c r="F31" s="16"/>
      <c r="G31" s="16"/>
      <c r="H31" s="16"/>
      <c r="I31" s="29"/>
      <c r="J31" s="16"/>
      <c r="K31" s="16"/>
      <c r="L31" s="16"/>
      <c r="M31" s="29"/>
    </row>
    <row r="32" ht="15.6" customHeight="1" spans="1:13">
      <c r="A32" s="12"/>
      <c r="B32" s="13"/>
      <c r="C32" s="13"/>
      <c r="D32" s="13"/>
      <c r="E32" s="16"/>
      <c r="F32" s="16"/>
      <c r="G32" s="16"/>
      <c r="H32" s="16"/>
      <c r="I32" s="29"/>
      <c r="J32" s="16"/>
      <c r="K32" s="16"/>
      <c r="L32" s="16"/>
      <c r="M32" s="29"/>
    </row>
    <row r="33" ht="15.6" customHeight="1" spans="1:13">
      <c r="A33" s="12"/>
      <c r="B33" s="13"/>
      <c r="C33" s="13"/>
      <c r="D33" s="13"/>
      <c r="E33" s="16"/>
      <c r="F33" s="16"/>
      <c r="G33" s="16"/>
      <c r="H33" s="16"/>
      <c r="I33" s="29"/>
      <c r="J33" s="16"/>
      <c r="K33" s="16"/>
      <c r="L33" s="16"/>
      <c r="M33" s="29"/>
    </row>
    <row r="34" ht="15.6" customHeight="1" spans="1:13">
      <c r="A34" s="12"/>
      <c r="B34" s="13"/>
      <c r="C34" s="13"/>
      <c r="D34" s="13"/>
      <c r="E34" s="16"/>
      <c r="F34" s="16"/>
      <c r="G34" s="16"/>
      <c r="H34" s="16"/>
      <c r="I34" s="29"/>
      <c r="J34" s="16"/>
      <c r="K34" s="16"/>
      <c r="L34" s="16"/>
      <c r="M34" s="29"/>
    </row>
    <row r="35" ht="15.6" customHeight="1" spans="1:13">
      <c r="A35" s="12"/>
      <c r="B35" s="13"/>
      <c r="C35" s="13"/>
      <c r="D35" s="13"/>
      <c r="E35" s="16"/>
      <c r="F35" s="16"/>
      <c r="G35" s="16"/>
      <c r="H35" s="16"/>
      <c r="I35" s="29"/>
      <c r="J35" s="16"/>
      <c r="K35" s="16"/>
      <c r="L35" s="16"/>
      <c r="M35" s="29"/>
    </row>
    <row r="36" ht="15.6" customHeight="1" spans="1:13">
      <c r="A36" s="12"/>
      <c r="B36" s="13"/>
      <c r="C36" s="13"/>
      <c r="D36" s="13"/>
      <c r="E36" s="16"/>
      <c r="F36" s="16"/>
      <c r="G36" s="16"/>
      <c r="H36" s="16"/>
      <c r="I36" s="29"/>
      <c r="J36" s="16"/>
      <c r="K36" s="16"/>
      <c r="L36" s="16"/>
      <c r="M36" s="29"/>
    </row>
    <row r="37" ht="15.6" customHeight="1" spans="1:13">
      <c r="A37" s="12"/>
      <c r="B37" s="13"/>
      <c r="C37" s="13"/>
      <c r="D37" s="13"/>
      <c r="E37" s="16"/>
      <c r="F37" s="16"/>
      <c r="G37" s="16"/>
      <c r="H37" s="16"/>
      <c r="I37" s="29"/>
      <c r="J37" s="16"/>
      <c r="K37" s="16"/>
      <c r="L37" s="16"/>
      <c r="M37" s="29"/>
    </row>
    <row r="38" ht="15.6" customHeight="1" spans="1:13">
      <c r="A38" s="12"/>
      <c r="B38" s="13"/>
      <c r="C38" s="13"/>
      <c r="D38" s="13"/>
      <c r="E38" s="16"/>
      <c r="F38" s="16"/>
      <c r="G38" s="16"/>
      <c r="H38" s="16"/>
      <c r="I38" s="29"/>
      <c r="J38" s="16"/>
      <c r="K38" s="16"/>
      <c r="L38" s="16"/>
      <c r="M38" s="29"/>
    </row>
    <row r="39" ht="15.6" customHeight="1" spans="1:13">
      <c r="A39" s="12"/>
      <c r="B39" s="13"/>
      <c r="C39" s="13"/>
      <c r="D39" s="13"/>
      <c r="E39" s="16"/>
      <c r="F39" s="16"/>
      <c r="G39" s="16"/>
      <c r="H39" s="16"/>
      <c r="I39" s="29"/>
      <c r="J39" s="16"/>
      <c r="K39" s="16"/>
      <c r="L39" s="16"/>
      <c r="M39" s="29"/>
    </row>
    <row r="40" ht="15.6" customHeight="1" spans="1:13">
      <c r="A40" s="12"/>
      <c r="B40" s="13"/>
      <c r="C40" s="13"/>
      <c r="D40" s="13"/>
      <c r="E40" s="16"/>
      <c r="F40" s="16"/>
      <c r="G40" s="16"/>
      <c r="H40" s="16"/>
      <c r="I40" s="29"/>
      <c r="J40" s="16"/>
      <c r="K40" s="16"/>
      <c r="L40" s="16"/>
      <c r="M40" s="29"/>
    </row>
    <row r="41" ht="15.6" customHeight="1" spans="1:13">
      <c r="A41" s="12"/>
      <c r="B41" s="13"/>
      <c r="C41" s="13"/>
      <c r="D41" s="13"/>
      <c r="E41" s="16"/>
      <c r="F41" s="16"/>
      <c r="G41" s="16"/>
      <c r="H41" s="16"/>
      <c r="I41" s="29"/>
      <c r="J41" s="16"/>
      <c r="K41" s="16"/>
      <c r="L41" s="16"/>
      <c r="M41" s="29"/>
    </row>
    <row r="42" ht="15.6" customHeight="1" spans="1:13">
      <c r="A42" s="12"/>
      <c r="B42" s="13"/>
      <c r="C42" s="13"/>
      <c r="D42" s="13"/>
      <c r="E42" s="16"/>
      <c r="F42" s="16"/>
      <c r="G42" s="16"/>
      <c r="H42" s="16"/>
      <c r="I42" s="29"/>
      <c r="J42" s="16"/>
      <c r="K42" s="16"/>
      <c r="L42" s="16"/>
      <c r="M42" s="29"/>
    </row>
    <row r="43" ht="15.6" customHeight="1" spans="1:13">
      <c r="A43" s="12"/>
      <c r="B43" s="13"/>
      <c r="C43" s="13"/>
      <c r="D43" s="13"/>
      <c r="E43" s="16"/>
      <c r="F43" s="16"/>
      <c r="G43" s="16"/>
      <c r="H43" s="16"/>
      <c r="I43" s="29"/>
      <c r="J43" s="16"/>
      <c r="K43" s="16"/>
      <c r="L43" s="16"/>
      <c r="M43" s="29"/>
    </row>
    <row r="44" ht="15.6" customHeight="1" spans="1:13">
      <c r="A44" s="12"/>
      <c r="B44" s="13"/>
      <c r="C44" s="13"/>
      <c r="D44" s="13"/>
      <c r="E44" s="16"/>
      <c r="F44" s="16"/>
      <c r="G44" s="16"/>
      <c r="H44" s="16"/>
      <c r="I44" s="29"/>
      <c r="J44" s="16"/>
      <c r="K44" s="16"/>
      <c r="L44" s="16"/>
      <c r="M44" s="29"/>
    </row>
    <row r="45" ht="15.6" customHeight="1" spans="1:13">
      <c r="A45" s="12"/>
      <c r="B45" s="13"/>
      <c r="C45" s="13"/>
      <c r="D45" s="13"/>
      <c r="E45" s="16"/>
      <c r="F45" s="16"/>
      <c r="G45" s="16"/>
      <c r="H45" s="16"/>
      <c r="I45" s="29"/>
      <c r="J45" s="16"/>
      <c r="K45" s="16"/>
      <c r="L45" s="16"/>
      <c r="M45" s="29"/>
    </row>
    <row r="46" ht="15.6" customHeight="1" spans="1:13">
      <c r="A46" s="12"/>
      <c r="B46" s="13"/>
      <c r="C46" s="13"/>
      <c r="D46" s="13"/>
      <c r="E46" s="16"/>
      <c r="F46" s="16"/>
      <c r="G46" s="16"/>
      <c r="H46" s="16"/>
      <c r="I46" s="29"/>
      <c r="J46" s="16"/>
      <c r="K46" s="16"/>
      <c r="L46" s="16"/>
      <c r="M46" s="29"/>
    </row>
    <row r="47" ht="15.6" customHeight="1" spans="1:13">
      <c r="A47" s="12"/>
      <c r="B47" s="13"/>
      <c r="C47" s="13"/>
      <c r="D47" s="13"/>
      <c r="E47" s="16"/>
      <c r="F47" s="16"/>
      <c r="G47" s="16"/>
      <c r="H47" s="16"/>
      <c r="I47" s="29"/>
      <c r="J47" s="16"/>
      <c r="K47" s="16"/>
      <c r="L47" s="16"/>
      <c r="M47" s="29"/>
    </row>
    <row r="48" ht="15.6" customHeight="1" spans="1:13">
      <c r="A48" s="12"/>
      <c r="B48" s="13"/>
      <c r="C48" s="13"/>
      <c r="D48" s="13"/>
      <c r="E48" s="16"/>
      <c r="F48" s="16"/>
      <c r="G48" s="16"/>
      <c r="H48" s="16"/>
      <c r="I48" s="29"/>
      <c r="J48" s="16"/>
      <c r="K48" s="16"/>
      <c r="L48" s="16"/>
      <c r="M48" s="29"/>
    </row>
    <row r="49" ht="15.6" customHeight="1" spans="1:13">
      <c r="A49" s="12"/>
      <c r="B49" s="13"/>
      <c r="C49" s="13"/>
      <c r="D49" s="13"/>
      <c r="E49" s="16"/>
      <c r="F49" s="16"/>
      <c r="G49" s="16"/>
      <c r="H49" s="16"/>
      <c r="I49" s="29"/>
      <c r="J49" s="16"/>
      <c r="K49" s="16"/>
      <c r="L49" s="16"/>
      <c r="M49" s="29"/>
    </row>
    <row r="50" ht="15.6" customHeight="1" spans="1:13">
      <c r="A50" s="12"/>
      <c r="B50" s="13"/>
      <c r="C50" s="13"/>
      <c r="D50" s="13"/>
      <c r="E50" s="16"/>
      <c r="F50" s="16"/>
      <c r="G50" s="16"/>
      <c r="H50" s="16"/>
      <c r="I50" s="29"/>
      <c r="J50" s="16"/>
      <c r="K50" s="16"/>
      <c r="L50" s="16"/>
      <c r="M50" s="29"/>
    </row>
    <row r="51" ht="15.6" customHeight="1" spans="1:13">
      <c r="A51" s="12"/>
      <c r="B51" s="13"/>
      <c r="C51" s="13"/>
      <c r="D51" s="13"/>
      <c r="E51" s="16"/>
      <c r="F51" s="16"/>
      <c r="G51" s="16"/>
      <c r="H51" s="16"/>
      <c r="I51" s="29"/>
      <c r="J51" s="16"/>
      <c r="K51" s="16"/>
      <c r="L51" s="16"/>
      <c r="M51" s="29"/>
    </row>
    <row r="52" ht="15.6" customHeight="1" spans="1:13">
      <c r="A52" s="12"/>
      <c r="B52" s="13"/>
      <c r="C52" s="13"/>
      <c r="D52" s="13"/>
      <c r="E52" s="16"/>
      <c r="F52" s="16"/>
      <c r="G52" s="16"/>
      <c r="H52" s="16"/>
      <c r="I52" s="29"/>
      <c r="J52" s="16"/>
      <c r="K52" s="16"/>
      <c r="L52" s="16"/>
      <c r="M52" s="29"/>
    </row>
    <row r="53" ht="15.6" customHeight="1" spans="1:13">
      <c r="A53" s="12"/>
      <c r="B53" s="13"/>
      <c r="C53" s="13"/>
      <c r="D53" s="13"/>
      <c r="E53" s="16"/>
      <c r="F53" s="16"/>
      <c r="G53" s="16"/>
      <c r="H53" s="16"/>
      <c r="I53" s="29"/>
      <c r="J53" s="16"/>
      <c r="K53" s="16"/>
      <c r="L53" s="16"/>
      <c r="M53" s="29"/>
    </row>
    <row r="54" ht="15.6" customHeight="1" spans="1:13">
      <c r="A54" s="12"/>
      <c r="B54" s="13"/>
      <c r="C54" s="13"/>
      <c r="D54" s="13"/>
      <c r="E54" s="16"/>
      <c r="F54" s="16"/>
      <c r="G54" s="16"/>
      <c r="H54" s="16"/>
      <c r="I54" s="29"/>
      <c r="J54" s="16"/>
      <c r="K54" s="16"/>
      <c r="L54" s="16"/>
      <c r="M54" s="29"/>
    </row>
    <row r="55" ht="15.6" customHeight="1" spans="1:13">
      <c r="A55" s="12"/>
      <c r="B55" s="13"/>
      <c r="C55" s="13"/>
      <c r="D55" s="13"/>
      <c r="E55" s="16"/>
      <c r="F55" s="16"/>
      <c r="G55" s="16"/>
      <c r="H55" s="16"/>
      <c r="I55" s="29"/>
      <c r="J55" s="16"/>
      <c r="K55" s="16"/>
      <c r="L55" s="16"/>
      <c r="M55" s="29"/>
    </row>
    <row r="56" ht="15.6" customHeight="1" spans="1:13">
      <c r="A56" s="12"/>
      <c r="B56" s="13"/>
      <c r="C56" s="13"/>
      <c r="D56" s="13"/>
      <c r="E56" s="16"/>
      <c r="F56" s="16"/>
      <c r="G56" s="16"/>
      <c r="H56" s="16"/>
      <c r="I56" s="29"/>
      <c r="J56" s="16"/>
      <c r="K56" s="16"/>
      <c r="L56" s="16"/>
      <c r="M56" s="29"/>
    </row>
    <row r="57" ht="15.6" customHeight="1" spans="1:13">
      <c r="A57" s="12"/>
      <c r="B57" s="13"/>
      <c r="C57" s="13"/>
      <c r="D57" s="13"/>
      <c r="E57" s="16"/>
      <c r="F57" s="16"/>
      <c r="G57" s="16"/>
      <c r="H57" s="16"/>
      <c r="I57" s="29"/>
      <c r="J57" s="16"/>
      <c r="K57" s="16"/>
      <c r="L57" s="16"/>
      <c r="M57" s="29"/>
    </row>
    <row r="58" ht="15.6" customHeight="1" spans="1:13">
      <c r="A58" s="12"/>
      <c r="B58" s="13"/>
      <c r="C58" s="13"/>
      <c r="D58" s="13"/>
      <c r="E58" s="16"/>
      <c r="F58" s="16"/>
      <c r="G58" s="16"/>
      <c r="H58" s="16"/>
      <c r="I58" s="29"/>
      <c r="J58" s="16"/>
      <c r="K58" s="16"/>
      <c r="L58" s="16"/>
      <c r="M58" s="29"/>
    </row>
    <row r="59" ht="15.6" customHeight="1" spans="1:13">
      <c r="A59" s="12"/>
      <c r="B59" s="13"/>
      <c r="C59" s="13"/>
      <c r="D59" s="13"/>
      <c r="E59" s="16"/>
      <c r="F59" s="16"/>
      <c r="G59" s="16"/>
      <c r="H59" s="16"/>
      <c r="I59" s="29"/>
      <c r="J59" s="16"/>
      <c r="K59" s="16"/>
      <c r="L59" s="16"/>
      <c r="M59" s="29"/>
    </row>
    <row r="60" ht="15.6" customHeight="1" spans="1:13">
      <c r="A60" s="12"/>
      <c r="B60" s="13"/>
      <c r="C60" s="13"/>
      <c r="D60" s="13"/>
      <c r="E60" s="16"/>
      <c r="F60" s="16"/>
      <c r="G60" s="16"/>
      <c r="H60" s="16"/>
      <c r="I60" s="29"/>
      <c r="J60" s="16"/>
      <c r="K60" s="16"/>
      <c r="L60" s="16"/>
      <c r="M60" s="29"/>
    </row>
    <row r="61" ht="15.6" customHeight="1" spans="1:13">
      <c r="A61" s="12"/>
      <c r="B61" s="13"/>
      <c r="C61" s="13"/>
      <c r="D61" s="13"/>
      <c r="E61" s="16"/>
      <c r="F61" s="16"/>
      <c r="G61" s="16"/>
      <c r="H61" s="16"/>
      <c r="I61" s="29"/>
      <c r="J61" s="16"/>
      <c r="K61" s="16"/>
      <c r="L61" s="16"/>
      <c r="M61" s="29"/>
    </row>
    <row r="62" ht="15.6" customHeight="1" spans="1:13">
      <c r="A62" s="12"/>
      <c r="B62" s="13"/>
      <c r="C62" s="13"/>
      <c r="D62" s="13"/>
      <c r="E62" s="16"/>
      <c r="F62" s="16"/>
      <c r="G62" s="16"/>
      <c r="H62" s="16"/>
      <c r="I62" s="29"/>
      <c r="J62" s="16"/>
      <c r="K62" s="16"/>
      <c r="L62" s="16"/>
      <c r="M62" s="29"/>
    </row>
    <row r="63" ht="15.6" customHeight="1" spans="1:13">
      <c r="A63" s="12"/>
      <c r="B63" s="13"/>
      <c r="C63" s="13"/>
      <c r="D63" s="13"/>
      <c r="E63" s="16"/>
      <c r="F63" s="16"/>
      <c r="G63" s="16"/>
      <c r="H63" s="16"/>
      <c r="I63" s="29"/>
      <c r="J63" s="16"/>
      <c r="K63" s="16"/>
      <c r="L63" s="16"/>
      <c r="M63" s="29"/>
    </row>
    <row r="64" ht="15.6" customHeight="1" spans="1:13">
      <c r="A64" s="12"/>
      <c r="B64" s="13"/>
      <c r="C64" s="13"/>
      <c r="D64" s="13"/>
      <c r="E64" s="16"/>
      <c r="F64" s="16"/>
      <c r="G64" s="16"/>
      <c r="H64" s="16"/>
      <c r="I64" s="29"/>
      <c r="J64" s="16"/>
      <c r="K64" s="16"/>
      <c r="L64" s="16"/>
      <c r="M64" s="29"/>
    </row>
    <row r="65" ht="15.6" customHeight="1" spans="1:13">
      <c r="A65" s="12"/>
      <c r="B65" s="13"/>
      <c r="C65" s="13"/>
      <c r="D65" s="13"/>
      <c r="E65" s="16"/>
      <c r="F65" s="16"/>
      <c r="G65" s="16"/>
      <c r="H65" s="16"/>
      <c r="I65" s="29"/>
      <c r="J65" s="16"/>
      <c r="K65" s="16"/>
      <c r="L65" s="16"/>
      <c r="M65" s="29"/>
    </row>
    <row r="66" ht="15.6" customHeight="1" spans="1:13">
      <c r="A66" s="12"/>
      <c r="B66" s="13"/>
      <c r="C66" s="13"/>
      <c r="D66" s="13"/>
      <c r="E66" s="16"/>
      <c r="F66" s="16"/>
      <c r="G66" s="16"/>
      <c r="H66" s="16"/>
      <c r="I66" s="29"/>
      <c r="J66" s="16"/>
      <c r="K66" s="16"/>
      <c r="L66" s="16"/>
      <c r="M66" s="29"/>
    </row>
    <row r="67" ht="15.6" customHeight="1" spans="1:13">
      <c r="A67" s="12"/>
      <c r="B67" s="13"/>
      <c r="C67" s="13"/>
      <c r="D67" s="13"/>
      <c r="E67" s="16"/>
      <c r="F67" s="16"/>
      <c r="G67" s="16"/>
      <c r="H67" s="16"/>
      <c r="I67" s="29"/>
      <c r="J67" s="16"/>
      <c r="K67" s="16"/>
      <c r="L67" s="16"/>
      <c r="M67" s="29"/>
    </row>
    <row r="68" ht="15.6" customHeight="1" spans="1:13">
      <c r="A68" s="12"/>
      <c r="B68" s="13"/>
      <c r="C68" s="13"/>
      <c r="D68" s="13"/>
      <c r="E68" s="16"/>
      <c r="F68" s="16"/>
      <c r="G68" s="16"/>
      <c r="H68" s="16"/>
      <c r="I68" s="29"/>
      <c r="J68" s="16"/>
      <c r="K68" s="16"/>
      <c r="L68" s="16"/>
      <c r="M68" s="29"/>
    </row>
    <row r="69" ht="15.6" customHeight="1" spans="1:13">
      <c r="A69" s="12"/>
      <c r="B69" s="13"/>
      <c r="C69" s="13"/>
      <c r="D69" s="13"/>
      <c r="E69" s="16"/>
      <c r="F69" s="16"/>
      <c r="G69" s="16"/>
      <c r="H69" s="16"/>
      <c r="I69" s="29"/>
      <c r="J69" s="16"/>
      <c r="K69" s="16"/>
      <c r="L69" s="16"/>
      <c r="M69" s="29"/>
    </row>
    <row r="70" ht="15.6" customHeight="1" spans="1:13">
      <c r="A70" s="12"/>
      <c r="B70" s="13"/>
      <c r="C70" s="13"/>
      <c r="D70" s="13"/>
      <c r="E70" s="16"/>
      <c r="F70" s="16"/>
      <c r="G70" s="16"/>
      <c r="H70" s="16"/>
      <c r="I70" s="29"/>
      <c r="J70" s="16"/>
      <c r="K70" s="16"/>
      <c r="L70" s="16"/>
      <c r="M70" s="29"/>
    </row>
    <row r="71" ht="15.6" customHeight="1" spans="1:13">
      <c r="A71" s="12"/>
      <c r="B71" s="13"/>
      <c r="C71" s="13"/>
      <c r="D71" s="13"/>
      <c r="E71" s="16"/>
      <c r="F71" s="16"/>
      <c r="G71" s="16"/>
      <c r="H71" s="16"/>
      <c r="I71" s="29"/>
      <c r="J71" s="16"/>
      <c r="K71" s="16"/>
      <c r="L71" s="16"/>
      <c r="M71" s="29"/>
    </row>
    <row r="72" ht="15.6" customHeight="1" spans="1:13">
      <c r="A72" s="12"/>
      <c r="B72" s="13"/>
      <c r="C72" s="13"/>
      <c r="D72" s="13"/>
      <c r="E72" s="16"/>
      <c r="F72" s="16"/>
      <c r="G72" s="16"/>
      <c r="H72" s="16"/>
      <c r="I72" s="29"/>
      <c r="J72" s="16"/>
      <c r="K72" s="16"/>
      <c r="L72" s="16"/>
      <c r="M72" s="29"/>
    </row>
    <row r="73" ht="15.6" customHeight="1" spans="1:13">
      <c r="A73" s="12"/>
      <c r="B73" s="13"/>
      <c r="C73" s="13"/>
      <c r="D73" s="13"/>
      <c r="E73" s="16"/>
      <c r="F73" s="16"/>
      <c r="G73" s="16"/>
      <c r="H73" s="16"/>
      <c r="I73" s="29"/>
      <c r="J73" s="16"/>
      <c r="K73" s="16"/>
      <c r="L73" s="16"/>
      <c r="M73" s="29"/>
    </row>
    <row r="74" ht="15.6" customHeight="1" spans="1:13">
      <c r="A74" s="12"/>
      <c r="B74" s="13"/>
      <c r="C74" s="13"/>
      <c r="D74" s="13"/>
      <c r="E74" s="16"/>
      <c r="F74" s="16"/>
      <c r="G74" s="16"/>
      <c r="H74" s="16"/>
      <c r="I74" s="29"/>
      <c r="J74" s="16"/>
      <c r="K74" s="16"/>
      <c r="L74" s="16"/>
      <c r="M74" s="29"/>
    </row>
    <row r="75" ht="15.6" customHeight="1" spans="1:13">
      <c r="A75" s="12"/>
      <c r="B75" s="13"/>
      <c r="C75" s="13"/>
      <c r="D75" s="13"/>
      <c r="E75" s="16"/>
      <c r="F75" s="16"/>
      <c r="G75" s="16"/>
      <c r="H75" s="16"/>
      <c r="I75" s="29"/>
      <c r="J75" s="16"/>
      <c r="K75" s="16"/>
      <c r="L75" s="16"/>
      <c r="M75" s="29"/>
    </row>
    <row r="76" ht="15.6" customHeight="1" spans="1:13">
      <c r="A76" s="12"/>
      <c r="B76" s="13"/>
      <c r="C76" s="13"/>
      <c r="D76" s="13"/>
      <c r="E76" s="16"/>
      <c r="F76" s="16"/>
      <c r="G76" s="16"/>
      <c r="H76" s="16"/>
      <c r="I76" s="29"/>
      <c r="J76" s="16"/>
      <c r="K76" s="16"/>
      <c r="L76" s="16"/>
      <c r="M76" s="29"/>
    </row>
    <row r="77" ht="15.6" customHeight="1" spans="1:13">
      <c r="A77" s="12"/>
      <c r="B77" s="13"/>
      <c r="C77" s="13"/>
      <c r="D77" s="13"/>
      <c r="E77" s="16"/>
      <c r="F77" s="16"/>
      <c r="G77" s="16"/>
      <c r="H77" s="16"/>
      <c r="I77" s="29"/>
      <c r="J77" s="16"/>
      <c r="K77" s="16"/>
      <c r="L77" s="16"/>
      <c r="M77" s="29"/>
    </row>
    <row r="78" ht="15.6" customHeight="1" spans="1:13">
      <c r="A78" s="12"/>
      <c r="B78" s="13"/>
      <c r="C78" s="13"/>
      <c r="D78" s="13"/>
      <c r="E78" s="16"/>
      <c r="F78" s="16"/>
      <c r="G78" s="16"/>
      <c r="H78" s="16"/>
      <c r="I78" s="29"/>
      <c r="J78" s="16"/>
      <c r="K78" s="16"/>
      <c r="L78" s="16"/>
      <c r="M78" s="29"/>
    </row>
    <row r="79" ht="15.6" customHeight="1" spans="1:13">
      <c r="A79" s="12"/>
      <c r="B79" s="13"/>
      <c r="C79" s="13"/>
      <c r="D79" s="13"/>
      <c r="E79" s="16"/>
      <c r="F79" s="16"/>
      <c r="G79" s="16"/>
      <c r="H79" s="16"/>
      <c r="I79" s="29"/>
      <c r="J79" s="16"/>
      <c r="K79" s="16"/>
      <c r="L79" s="16"/>
      <c r="M79" s="29"/>
    </row>
    <row r="80" ht="15.6" customHeight="1" spans="1:13">
      <c r="A80" s="12"/>
      <c r="B80" s="13"/>
      <c r="C80" s="13"/>
      <c r="D80" s="13"/>
      <c r="E80" s="16"/>
      <c r="F80" s="16"/>
      <c r="G80" s="16"/>
      <c r="H80" s="16"/>
      <c r="I80" s="29"/>
      <c r="J80" s="16"/>
      <c r="K80" s="16"/>
      <c r="L80" s="16"/>
      <c r="M80" s="29"/>
    </row>
    <row r="81" ht="15.6" customHeight="1" spans="1:13">
      <c r="A81" s="12"/>
      <c r="B81" s="13"/>
      <c r="C81" s="13"/>
      <c r="D81" s="13"/>
      <c r="E81" s="16"/>
      <c r="F81" s="16"/>
      <c r="G81" s="16"/>
      <c r="H81" s="16"/>
      <c r="I81" s="29"/>
      <c r="J81" s="16"/>
      <c r="K81" s="16"/>
      <c r="L81" s="16"/>
      <c r="M81" s="29"/>
    </row>
    <row r="82" ht="15.6" customHeight="1" spans="1:13">
      <c r="A82" s="12"/>
      <c r="B82" s="13"/>
      <c r="C82" s="13"/>
      <c r="D82" s="13"/>
      <c r="E82" s="16"/>
      <c r="F82" s="16"/>
      <c r="G82" s="16"/>
      <c r="H82" s="16"/>
      <c r="I82" s="29"/>
      <c r="J82" s="16"/>
      <c r="K82" s="16"/>
      <c r="L82" s="16"/>
      <c r="M82" s="29"/>
    </row>
    <row r="83" ht="15.6" customHeight="1" spans="1:13">
      <c r="A83" s="12"/>
      <c r="B83" s="13"/>
      <c r="C83" s="13"/>
      <c r="D83" s="13"/>
      <c r="E83" s="16"/>
      <c r="F83" s="16"/>
      <c r="G83" s="16"/>
      <c r="H83" s="16"/>
      <c r="I83" s="29"/>
      <c r="J83" s="16"/>
      <c r="K83" s="16"/>
      <c r="L83" s="16"/>
      <c r="M83" s="29"/>
    </row>
    <row r="84" ht="15.6" customHeight="1" spans="1:13">
      <c r="A84" s="12"/>
      <c r="B84" s="13"/>
      <c r="C84" s="13"/>
      <c r="D84" s="13"/>
      <c r="E84" s="16"/>
      <c r="F84" s="16"/>
      <c r="G84" s="16"/>
      <c r="H84" s="16"/>
      <c r="I84" s="29"/>
      <c r="J84" s="16"/>
      <c r="K84" s="16"/>
      <c r="L84" s="16"/>
      <c r="M84" s="29"/>
    </row>
    <row r="85" ht="15.6" customHeight="1" spans="1:13">
      <c r="A85" s="12"/>
      <c r="B85" s="13"/>
      <c r="C85" s="13"/>
      <c r="D85" s="13"/>
      <c r="E85" s="16"/>
      <c r="F85" s="16"/>
      <c r="G85" s="16"/>
      <c r="H85" s="16"/>
      <c r="I85" s="29"/>
      <c r="J85" s="16"/>
      <c r="K85" s="16"/>
      <c r="L85" s="16"/>
      <c r="M85" s="29"/>
    </row>
    <row r="86" ht="15.6" customHeight="1" spans="1:13">
      <c r="A86" s="12"/>
      <c r="B86" s="13"/>
      <c r="C86" s="13"/>
      <c r="D86" s="13"/>
      <c r="E86" s="16"/>
      <c r="F86" s="16"/>
      <c r="G86" s="16"/>
      <c r="H86" s="16"/>
      <c r="I86" s="29"/>
      <c r="J86" s="16"/>
      <c r="K86" s="16"/>
      <c r="L86" s="16"/>
      <c r="M86" s="29"/>
    </row>
    <row r="87" ht="15.6" customHeight="1" spans="1:13">
      <c r="A87" s="12"/>
      <c r="B87" s="13"/>
      <c r="C87" s="13"/>
      <c r="D87" s="13"/>
      <c r="E87" s="16"/>
      <c r="F87" s="16"/>
      <c r="G87" s="16"/>
      <c r="H87" s="16"/>
      <c r="I87" s="29"/>
      <c r="J87" s="16"/>
      <c r="K87" s="16"/>
      <c r="L87" s="16"/>
      <c r="M87" s="29"/>
    </row>
    <row r="88" ht="15.6" customHeight="1" spans="1:13">
      <c r="A88" s="12"/>
      <c r="B88" s="13"/>
      <c r="C88" s="13"/>
      <c r="D88" s="13"/>
      <c r="E88" s="16"/>
      <c r="F88" s="16"/>
      <c r="G88" s="16"/>
      <c r="H88" s="16"/>
      <c r="I88" s="29"/>
      <c r="J88" s="16"/>
      <c r="K88" s="16"/>
      <c r="L88" s="16"/>
      <c r="M88" s="29"/>
    </row>
    <row r="89" ht="15.6" customHeight="1" spans="1:13">
      <c r="A89" s="12"/>
      <c r="B89" s="13"/>
      <c r="C89" s="13"/>
      <c r="D89" s="13"/>
      <c r="E89" s="16"/>
      <c r="F89" s="16"/>
      <c r="G89" s="16"/>
      <c r="H89" s="16"/>
      <c r="I89" s="29"/>
      <c r="J89" s="16"/>
      <c r="K89" s="16"/>
      <c r="L89" s="16"/>
      <c r="M89" s="29"/>
    </row>
    <row r="90" ht="15.6" customHeight="1" spans="1:13">
      <c r="A90" s="12"/>
      <c r="B90" s="13"/>
      <c r="C90" s="13"/>
      <c r="D90" s="13"/>
      <c r="E90" s="16"/>
      <c r="F90" s="16"/>
      <c r="G90" s="16"/>
      <c r="H90" s="16"/>
      <c r="I90" s="29"/>
      <c r="J90" s="16"/>
      <c r="K90" s="16"/>
      <c r="L90" s="16"/>
      <c r="M90" s="29"/>
    </row>
    <row r="91" ht="15.6" customHeight="1" spans="1:13">
      <c r="A91" s="12"/>
      <c r="B91" s="13"/>
      <c r="C91" s="13"/>
      <c r="D91" s="13"/>
      <c r="E91" s="16"/>
      <c r="F91" s="16"/>
      <c r="G91" s="16"/>
      <c r="H91" s="16"/>
      <c r="I91" s="29"/>
      <c r="J91" s="16"/>
      <c r="K91" s="16"/>
      <c r="L91" s="16"/>
      <c r="M91" s="29"/>
    </row>
    <row r="92" ht="15.6" customHeight="1" spans="1:13">
      <c r="A92" s="12"/>
      <c r="B92" s="13"/>
      <c r="C92" s="13"/>
      <c r="D92" s="13"/>
      <c r="E92" s="16"/>
      <c r="F92" s="16"/>
      <c r="G92" s="16"/>
      <c r="H92" s="16"/>
      <c r="I92" s="29"/>
      <c r="J92" s="16"/>
      <c r="K92" s="16"/>
      <c r="L92" s="16"/>
      <c r="M92" s="29"/>
    </row>
    <row r="93" ht="15.6" customHeight="1" spans="1:13">
      <c r="A93" s="12"/>
      <c r="B93" s="13"/>
      <c r="C93" s="13"/>
      <c r="D93" s="13"/>
      <c r="E93" s="16"/>
      <c r="F93" s="16"/>
      <c r="G93" s="16"/>
      <c r="H93" s="16"/>
      <c r="I93" s="29"/>
      <c r="J93" s="16"/>
      <c r="K93" s="16"/>
      <c r="L93" s="16"/>
      <c r="M93" s="29"/>
    </row>
    <row r="94" ht="15.6" customHeight="1" spans="1:13">
      <c r="A94" s="12"/>
      <c r="B94" s="13"/>
      <c r="C94" s="13"/>
      <c r="D94" s="13"/>
      <c r="E94" s="16"/>
      <c r="F94" s="16"/>
      <c r="G94" s="16"/>
      <c r="H94" s="16"/>
      <c r="I94" s="29"/>
      <c r="J94" s="16"/>
      <c r="K94" s="16"/>
      <c r="L94" s="16"/>
      <c r="M94" s="29"/>
    </row>
    <row r="95" ht="15.6" customHeight="1" spans="1:13">
      <c r="A95" s="12"/>
      <c r="B95" s="13"/>
      <c r="C95" s="13"/>
      <c r="D95" s="13"/>
      <c r="E95" s="16"/>
      <c r="F95" s="16"/>
      <c r="G95" s="16"/>
      <c r="H95" s="16"/>
      <c r="I95" s="29"/>
      <c r="J95" s="16"/>
      <c r="K95" s="16"/>
      <c r="L95" s="16"/>
      <c r="M95" s="29"/>
    </row>
    <row r="96" ht="15.6" customHeight="1" spans="1:13">
      <c r="A96" s="12"/>
      <c r="B96" s="13"/>
      <c r="C96" s="13"/>
      <c r="D96" s="13"/>
      <c r="E96" s="16"/>
      <c r="F96" s="16"/>
      <c r="G96" s="16"/>
      <c r="H96" s="16"/>
      <c r="I96" s="29"/>
      <c r="J96" s="16"/>
      <c r="K96" s="16"/>
      <c r="L96" s="16"/>
      <c r="M96" s="29"/>
    </row>
    <row r="97" ht="15.6" customHeight="1" spans="1:13">
      <c r="A97" s="12"/>
      <c r="B97" s="13"/>
      <c r="C97" s="13"/>
      <c r="D97" s="13"/>
      <c r="E97" s="16"/>
      <c r="F97" s="16"/>
      <c r="G97" s="16"/>
      <c r="H97" s="16"/>
      <c r="I97" s="29"/>
      <c r="J97" s="16"/>
      <c r="K97" s="16"/>
      <c r="L97" s="16"/>
      <c r="M97" s="29"/>
    </row>
    <row r="98" ht="15.6" customHeight="1" spans="1:13">
      <c r="A98" s="12"/>
      <c r="B98" s="13"/>
      <c r="C98" s="13"/>
      <c r="D98" s="13"/>
      <c r="E98" s="16"/>
      <c r="F98" s="16"/>
      <c r="G98" s="16"/>
      <c r="H98" s="16"/>
      <c r="I98" s="29"/>
      <c r="J98" s="16"/>
      <c r="K98" s="16"/>
      <c r="L98" s="16"/>
      <c r="M98" s="29"/>
    </row>
    <row r="99" ht="15.6" customHeight="1" spans="1:13">
      <c r="A99" s="12"/>
      <c r="B99" s="13"/>
      <c r="C99" s="13"/>
      <c r="D99" s="13"/>
      <c r="E99" s="16"/>
      <c r="F99" s="16"/>
      <c r="G99" s="16"/>
      <c r="H99" s="16"/>
      <c r="I99" s="29"/>
      <c r="J99" s="16"/>
      <c r="K99" s="16"/>
      <c r="L99" s="16"/>
      <c r="M99" s="29"/>
    </row>
    <row r="100" ht="15.6" customHeight="1" spans="1:13">
      <c r="A100" s="12"/>
      <c r="B100" s="13"/>
      <c r="C100" s="13"/>
      <c r="D100" s="13"/>
      <c r="E100" s="16"/>
      <c r="F100" s="16"/>
      <c r="G100" s="16"/>
      <c r="H100" s="16"/>
      <c r="I100" s="29"/>
      <c r="J100" s="16"/>
      <c r="K100" s="16"/>
      <c r="L100" s="16"/>
      <c r="M100" s="29"/>
    </row>
  </sheetData>
  <mergeCells count="4">
    <mergeCell ref="A1:B1"/>
    <mergeCell ref="C1:E1"/>
    <mergeCell ref="F1:I1"/>
    <mergeCell ref="J1:K1"/>
  </mergeCells>
  <conditionalFormatting sqref="A3:E100 J3:M100">
    <cfRule type="expression" dxfId="0" priority="2">
      <formula>MOD(ROW(),2)=0</formula>
    </cfRule>
  </conditionalFormatting>
  <conditionalFormatting sqref="F3:I100">
    <cfRule type="expression" dxfId="0" priority="1">
      <formula>MOD(ROW(),2)=0</formula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W100"/>
  <sheetViews>
    <sheetView workbookViewId="0">
      <pane ySplit="2" topLeftCell="A3" activePane="bottomLeft" state="frozen"/>
      <selection/>
      <selection pane="bottomLeft" activeCell="P8" sqref="P8"/>
    </sheetView>
  </sheetViews>
  <sheetFormatPr defaultColWidth="9" defaultRowHeight="14.4"/>
  <cols>
    <col min="2" max="2" width="14.4444444444444" customWidth="1"/>
    <col min="3" max="3" width="38.5555555555556" customWidth="1"/>
  </cols>
  <sheetData>
    <row r="1" ht="31.2" customHeight="1" spans="1:23">
      <c r="A1" s="1" t="s">
        <v>0</v>
      </c>
      <c r="B1" s="2"/>
      <c r="C1" s="3" t="s">
        <v>1</v>
      </c>
      <c r="D1" s="4"/>
      <c r="E1" s="5"/>
      <c r="F1" s="6" t="s">
        <v>2</v>
      </c>
      <c r="G1" s="7"/>
      <c r="H1" s="7"/>
      <c r="I1" s="2"/>
      <c r="J1" s="17" t="s">
        <v>3</v>
      </c>
      <c r="K1" s="2"/>
      <c r="L1" s="18" t="s">
        <v>4</v>
      </c>
      <c r="M1" s="19" t="s">
        <v>5</v>
      </c>
      <c r="N1" s="20" t="s">
        <v>6</v>
      </c>
      <c r="O1" s="21" t="s">
        <v>7</v>
      </c>
      <c r="P1" s="21" t="s">
        <v>8</v>
      </c>
      <c r="Q1" s="21" t="s">
        <v>9</v>
      </c>
      <c r="R1" s="30" t="s">
        <v>10</v>
      </c>
      <c r="S1" s="31" t="s">
        <v>11</v>
      </c>
      <c r="T1" s="32" t="s">
        <v>12</v>
      </c>
      <c r="U1" s="32" t="s">
        <v>13</v>
      </c>
      <c r="V1" s="32" t="s">
        <v>14</v>
      </c>
      <c r="W1" s="33" t="s">
        <v>15</v>
      </c>
    </row>
    <row r="2" ht="67" customHeight="1" spans="1:23">
      <c r="A2" s="8" t="s">
        <v>16</v>
      </c>
      <c r="B2" s="9" t="s">
        <v>17</v>
      </c>
      <c r="C2" s="10" t="s">
        <v>18</v>
      </c>
      <c r="D2" s="10" t="s">
        <v>19</v>
      </c>
      <c r="E2" s="10" t="s">
        <v>20</v>
      </c>
      <c r="F2" s="11" t="s">
        <v>270</v>
      </c>
      <c r="G2" s="11" t="s">
        <v>271</v>
      </c>
      <c r="H2" s="11" t="s">
        <v>272</v>
      </c>
      <c r="I2" s="11" t="s">
        <v>273</v>
      </c>
      <c r="J2" s="22" t="s">
        <v>274</v>
      </c>
      <c r="K2" s="22" t="s">
        <v>275</v>
      </c>
      <c r="L2" s="23" t="s">
        <v>276</v>
      </c>
      <c r="M2" s="24" t="s">
        <v>277</v>
      </c>
      <c r="N2" s="25">
        <f>QUARTILE(F3:F200,4)</f>
        <v>0.0446</v>
      </c>
      <c r="O2" s="26">
        <f>QUARTILE(F3:F200,3)</f>
        <v>0.00925</v>
      </c>
      <c r="P2" s="26">
        <f>QUARTILE(F3:F200,2)</f>
        <v>0.0037</v>
      </c>
      <c r="Q2" s="26">
        <f>QUARTILE(F3:F200,1)</f>
        <v>-0.00515</v>
      </c>
      <c r="R2" s="34">
        <f>QUARTILE(F3:F200,0)</f>
        <v>-0.0204</v>
      </c>
      <c r="S2" s="25">
        <f>QUARTILE(H3:H200,4)</f>
        <v>0.1742</v>
      </c>
      <c r="T2" s="26">
        <f>QUARTILE(H3:H200,3)</f>
        <v>0.1017</v>
      </c>
      <c r="U2" s="26">
        <f>QUARTILE(H3:H200,2)</f>
        <v>0.0593</v>
      </c>
      <c r="V2" s="26">
        <f>QUARTILE(H3:H200,1)</f>
        <v>0.0247</v>
      </c>
      <c r="W2" s="34">
        <f>QUARTILE(H3:H200,0)</f>
        <v>-0.1563</v>
      </c>
    </row>
    <row r="3" ht="15.6" customHeight="1" spans="1:13">
      <c r="A3" s="12" t="s">
        <v>777</v>
      </c>
      <c r="B3" s="13" t="s">
        <v>54</v>
      </c>
      <c r="C3" s="14" t="s">
        <v>778</v>
      </c>
      <c r="D3" s="14" t="s">
        <v>779</v>
      </c>
      <c r="E3" s="15" t="s">
        <v>780</v>
      </c>
      <c r="F3" s="16">
        <v>0.0446</v>
      </c>
      <c r="G3" s="16">
        <v>-0.1689</v>
      </c>
      <c r="H3" s="16">
        <v>-0.1563</v>
      </c>
      <c r="I3" s="27">
        <v>0.2136</v>
      </c>
      <c r="J3" s="16">
        <v>0.205</v>
      </c>
      <c r="K3" s="16">
        <v>0.245</v>
      </c>
      <c r="L3" s="16">
        <v>0.1653</v>
      </c>
      <c r="M3" s="29">
        <v>1.171</v>
      </c>
    </row>
    <row r="4" ht="15.6" customHeight="1" spans="1:13">
      <c r="A4" s="12" t="s">
        <v>781</v>
      </c>
      <c r="B4" s="13" t="s">
        <v>61</v>
      </c>
      <c r="C4" s="13" t="s">
        <v>782</v>
      </c>
      <c r="D4" s="13" t="s">
        <v>779</v>
      </c>
      <c r="E4" s="16" t="s">
        <v>783</v>
      </c>
      <c r="F4" s="16">
        <v>0.0403</v>
      </c>
      <c r="G4" s="16">
        <v>-0.1538</v>
      </c>
      <c r="H4" s="16">
        <v>-0.1264</v>
      </c>
      <c r="I4" s="27">
        <v>0.175</v>
      </c>
      <c r="J4" s="16">
        <v>0.2146</v>
      </c>
      <c r="K4" s="16">
        <v>0.2146</v>
      </c>
      <c r="L4" s="16">
        <v>0.1849</v>
      </c>
      <c r="M4" s="29">
        <v>0.8384</v>
      </c>
    </row>
    <row r="5" ht="15.6" customHeight="1" spans="1:13">
      <c r="A5" s="12" t="s">
        <v>474</v>
      </c>
      <c r="B5" s="13" t="s">
        <v>156</v>
      </c>
      <c r="C5" s="13" t="s">
        <v>784</v>
      </c>
      <c r="D5" s="13" t="s">
        <v>779</v>
      </c>
      <c r="E5" s="16" t="s">
        <v>785</v>
      </c>
      <c r="F5" s="16">
        <v>0.036</v>
      </c>
      <c r="G5" s="16">
        <v>-0.1227</v>
      </c>
      <c r="H5" s="16">
        <v>-0.0986</v>
      </c>
      <c r="I5" s="27">
        <v>-0.2561</v>
      </c>
      <c r="J5" s="16">
        <v>0.1904</v>
      </c>
      <c r="K5" s="16">
        <v>0.5914</v>
      </c>
      <c r="L5" s="16">
        <v>0.2862</v>
      </c>
      <c r="M5" s="29">
        <v>-0.9647</v>
      </c>
    </row>
    <row r="6" ht="15.6" customHeight="1" spans="1:13">
      <c r="A6" s="12" t="s">
        <v>291</v>
      </c>
      <c r="B6" s="13" t="s">
        <v>217</v>
      </c>
      <c r="C6" s="13" t="s">
        <v>786</v>
      </c>
      <c r="D6" s="13" t="s">
        <v>787</v>
      </c>
      <c r="E6" s="16" t="s">
        <v>788</v>
      </c>
      <c r="F6" s="16">
        <v>0.0171</v>
      </c>
      <c r="G6" s="16">
        <v>-0.0346</v>
      </c>
      <c r="H6" s="16">
        <v>-0.0019</v>
      </c>
      <c r="I6" s="27">
        <v>0.0513</v>
      </c>
      <c r="J6" s="16">
        <v>0.0509</v>
      </c>
      <c r="K6" s="16">
        <v>0.0509</v>
      </c>
      <c r="L6" s="16">
        <v>0.0413</v>
      </c>
      <c r="M6" s="29">
        <v>0.7575</v>
      </c>
    </row>
    <row r="7" ht="15.6" customHeight="1" spans="1:13">
      <c r="A7" s="12" t="s">
        <v>412</v>
      </c>
      <c r="B7" s="13" t="s">
        <v>61</v>
      </c>
      <c r="C7" s="13" t="s">
        <v>789</v>
      </c>
      <c r="D7" s="13" t="s">
        <v>790</v>
      </c>
      <c r="E7" s="16" t="s">
        <v>791</v>
      </c>
      <c r="F7" s="16">
        <v>0.0119</v>
      </c>
      <c r="G7" s="16">
        <v>0.1682</v>
      </c>
      <c r="H7" s="16">
        <v>0.1262</v>
      </c>
      <c r="I7" s="27">
        <v>0.225</v>
      </c>
      <c r="J7" s="16">
        <v>0.0982</v>
      </c>
      <c r="K7" s="16">
        <v>0.0982</v>
      </c>
      <c r="L7" s="16">
        <v>0.1313</v>
      </c>
      <c r="M7" s="29">
        <v>1.5614</v>
      </c>
    </row>
    <row r="8" ht="15.6" customHeight="1" spans="1:13">
      <c r="A8" s="12" t="s">
        <v>297</v>
      </c>
      <c r="B8" s="13" t="s">
        <v>156</v>
      </c>
      <c r="C8" s="13" t="s">
        <v>792</v>
      </c>
      <c r="D8" s="13" t="s">
        <v>787</v>
      </c>
      <c r="E8" s="16" t="s">
        <v>788</v>
      </c>
      <c r="F8" s="16">
        <v>0.01</v>
      </c>
      <c r="G8" s="16">
        <v>0.0135</v>
      </c>
      <c r="H8" s="16">
        <v>0.0247</v>
      </c>
      <c r="I8" s="27">
        <v>0.0852</v>
      </c>
      <c r="J8" s="16">
        <v>0.0169</v>
      </c>
      <c r="K8" s="16">
        <v>0.0523</v>
      </c>
      <c r="L8" s="16">
        <v>0.0527</v>
      </c>
      <c r="M8" s="29">
        <v>1.237</v>
      </c>
    </row>
    <row r="9" ht="15.6" customHeight="1" spans="1:13">
      <c r="A9" s="12" t="s">
        <v>428</v>
      </c>
      <c r="B9" s="13" t="s">
        <v>156</v>
      </c>
      <c r="C9" s="13" t="s">
        <v>793</v>
      </c>
      <c r="D9" s="13" t="s">
        <v>790</v>
      </c>
      <c r="E9" s="16" t="s">
        <v>794</v>
      </c>
      <c r="F9" s="16">
        <v>0.0093</v>
      </c>
      <c r="G9" s="16">
        <v>0.0278</v>
      </c>
      <c r="H9" s="16">
        <v>0.0508</v>
      </c>
      <c r="I9" s="27">
        <v>0.1879</v>
      </c>
      <c r="J9" s="16">
        <v>0.0169</v>
      </c>
      <c r="K9" s="16">
        <v>0.0169</v>
      </c>
      <c r="L9" s="16">
        <v>0.0667</v>
      </c>
      <c r="M9" s="29">
        <v>2.5179</v>
      </c>
    </row>
    <row r="10" ht="15.6" customHeight="1" spans="1:13">
      <c r="A10" s="12" t="s">
        <v>382</v>
      </c>
      <c r="B10" s="13" t="s">
        <v>156</v>
      </c>
      <c r="C10" s="13" t="s">
        <v>795</v>
      </c>
      <c r="D10" s="13" t="s">
        <v>787</v>
      </c>
      <c r="E10" s="16" t="s">
        <v>548</v>
      </c>
      <c r="F10" s="16">
        <v>0.0091</v>
      </c>
      <c r="G10" s="16">
        <v>0.0598</v>
      </c>
      <c r="H10" s="16">
        <v>0.1017</v>
      </c>
      <c r="I10" s="27">
        <v>0.192</v>
      </c>
      <c r="J10" s="16">
        <v>0</v>
      </c>
      <c r="K10" s="16">
        <v>0.0146</v>
      </c>
      <c r="L10" s="16">
        <v>0.0378</v>
      </c>
      <c r="M10" s="29">
        <v>4.5549</v>
      </c>
    </row>
    <row r="11" ht="15.6" customHeight="1" spans="1:13">
      <c r="A11" s="12" t="s">
        <v>582</v>
      </c>
      <c r="B11" s="13" t="s">
        <v>156</v>
      </c>
      <c r="C11" s="13" t="s">
        <v>796</v>
      </c>
      <c r="D11" s="13" t="s">
        <v>787</v>
      </c>
      <c r="E11" s="16" t="s">
        <v>797</v>
      </c>
      <c r="F11" s="16">
        <v>0.0088</v>
      </c>
      <c r="G11" s="16">
        <v>0.0479</v>
      </c>
      <c r="H11" s="16">
        <v>0.012</v>
      </c>
      <c r="I11" s="27">
        <v>-0.0204</v>
      </c>
      <c r="J11" s="16">
        <v>0.0519</v>
      </c>
      <c r="K11" s="16">
        <v>0.0734</v>
      </c>
      <c r="L11" s="16">
        <v>0.0857</v>
      </c>
      <c r="M11" s="29">
        <v>-0.4709</v>
      </c>
    </row>
    <row r="12" ht="15.6" customHeight="1" spans="1:13">
      <c r="A12" s="12" t="s">
        <v>428</v>
      </c>
      <c r="B12" s="13" t="s">
        <v>156</v>
      </c>
      <c r="C12" s="13" t="s">
        <v>798</v>
      </c>
      <c r="D12" s="13" t="s">
        <v>790</v>
      </c>
      <c r="E12" s="16" t="s">
        <v>799</v>
      </c>
      <c r="F12" s="16">
        <v>0.0088</v>
      </c>
      <c r="G12" s="16">
        <v>0.0393</v>
      </c>
      <c r="H12" s="16">
        <v>0.0547</v>
      </c>
      <c r="I12" s="27">
        <v>0.1791</v>
      </c>
      <c r="J12" s="16">
        <v>0.0224</v>
      </c>
      <c r="K12" s="16">
        <v>0.0224</v>
      </c>
      <c r="L12" s="16">
        <v>0.0473</v>
      </c>
      <c r="M12" s="29">
        <v>3.3624</v>
      </c>
    </row>
    <row r="13" ht="15.6" customHeight="1" spans="1:13">
      <c r="A13" s="12" t="s">
        <v>282</v>
      </c>
      <c r="B13" s="13" t="s">
        <v>156</v>
      </c>
      <c r="C13" s="13" t="s">
        <v>800</v>
      </c>
      <c r="D13" s="13" t="s">
        <v>790</v>
      </c>
      <c r="E13" s="16" t="s">
        <v>801</v>
      </c>
      <c r="F13" s="16">
        <v>0.0069</v>
      </c>
      <c r="G13" s="16">
        <v>0.0183</v>
      </c>
      <c r="H13" s="16">
        <v>0.036</v>
      </c>
      <c r="I13" s="27">
        <v>0.1582</v>
      </c>
      <c r="J13" s="16">
        <v>0.0365</v>
      </c>
      <c r="K13" s="16">
        <v>0.0365</v>
      </c>
      <c r="L13" s="16">
        <v>0.0578</v>
      </c>
      <c r="M13" s="29">
        <v>2.3916</v>
      </c>
    </row>
    <row r="14" ht="15.6" customHeight="1" spans="1:13">
      <c r="A14" s="12" t="s">
        <v>302</v>
      </c>
      <c r="B14" s="13" t="s">
        <v>156</v>
      </c>
      <c r="C14" s="13" t="s">
        <v>802</v>
      </c>
      <c r="D14" s="13" t="s">
        <v>787</v>
      </c>
      <c r="E14" s="16" t="s">
        <v>799</v>
      </c>
      <c r="F14" s="16">
        <v>0.0063</v>
      </c>
      <c r="G14" s="16">
        <v>0.0594</v>
      </c>
      <c r="H14" s="16">
        <v>0.0727</v>
      </c>
      <c r="I14" s="27">
        <v>0.1493</v>
      </c>
      <c r="J14" s="16">
        <v>0.0208</v>
      </c>
      <c r="K14" s="16">
        <v>0.0347</v>
      </c>
      <c r="L14" s="16">
        <v>0.0705</v>
      </c>
      <c r="M14" s="29">
        <v>1.8346</v>
      </c>
    </row>
    <row r="15" ht="15.6" customHeight="1" spans="1:13">
      <c r="A15" s="12" t="s">
        <v>613</v>
      </c>
      <c r="B15" s="13" t="s">
        <v>61</v>
      </c>
      <c r="C15" s="13" t="s">
        <v>803</v>
      </c>
      <c r="D15" s="13" t="s">
        <v>779</v>
      </c>
      <c r="E15" s="16" t="s">
        <v>333</v>
      </c>
      <c r="F15" s="16">
        <v>0.0044</v>
      </c>
      <c r="G15" s="16">
        <v>0.0721</v>
      </c>
      <c r="H15" s="16"/>
      <c r="I15" s="27">
        <v>0.1971</v>
      </c>
      <c r="J15" s="16"/>
      <c r="K15" s="16">
        <v>0.0158</v>
      </c>
      <c r="L15" s="16">
        <v>0.0533</v>
      </c>
      <c r="M15" s="29">
        <v>3.3254</v>
      </c>
    </row>
    <row r="16" ht="15.6" customHeight="1" spans="1:13">
      <c r="A16" s="12" t="s">
        <v>313</v>
      </c>
      <c r="B16" s="13" t="s">
        <v>156</v>
      </c>
      <c r="C16" s="13" t="s">
        <v>804</v>
      </c>
      <c r="D16" s="13" t="s">
        <v>787</v>
      </c>
      <c r="E16" s="16" t="s">
        <v>805</v>
      </c>
      <c r="F16" s="16">
        <v>0.003</v>
      </c>
      <c r="G16" s="16">
        <v>0.0547</v>
      </c>
      <c r="H16" s="16">
        <v>0.0885</v>
      </c>
      <c r="I16" s="27">
        <v>0.0855</v>
      </c>
      <c r="J16" s="16">
        <v>0.0105</v>
      </c>
      <c r="K16" s="16">
        <v>0.0325</v>
      </c>
      <c r="L16" s="16">
        <v>0.0492</v>
      </c>
      <c r="M16" s="29">
        <v>1.331</v>
      </c>
    </row>
    <row r="17" ht="15.6" customHeight="1" spans="1:13">
      <c r="A17" s="12" t="s">
        <v>643</v>
      </c>
      <c r="B17" s="13" t="s">
        <v>156</v>
      </c>
      <c r="C17" s="13" t="s">
        <v>806</v>
      </c>
      <c r="D17" s="13" t="s">
        <v>787</v>
      </c>
      <c r="E17" s="16" t="s">
        <v>807</v>
      </c>
      <c r="F17" s="16">
        <v>-0.0002</v>
      </c>
      <c r="G17" s="16">
        <v>0.0841</v>
      </c>
      <c r="H17" s="16">
        <v>0.1165</v>
      </c>
      <c r="I17" s="27">
        <v>0.1463</v>
      </c>
      <c r="J17" s="16">
        <v>0.0086</v>
      </c>
      <c r="K17" s="16">
        <v>0.0371</v>
      </c>
      <c r="L17" s="16">
        <v>0.0477</v>
      </c>
      <c r="M17" s="29">
        <v>2.6471</v>
      </c>
    </row>
    <row r="18" ht="15.6" customHeight="1" spans="1:13">
      <c r="A18" s="12" t="s">
        <v>412</v>
      </c>
      <c r="B18" s="13" t="s">
        <v>61</v>
      </c>
      <c r="C18" s="13" t="s">
        <v>808</v>
      </c>
      <c r="D18" s="13" t="s">
        <v>790</v>
      </c>
      <c r="E18" s="16" t="s">
        <v>809</v>
      </c>
      <c r="F18" s="16">
        <v>-0.0006</v>
      </c>
      <c r="G18" s="16">
        <v>0.0971</v>
      </c>
      <c r="H18" s="16">
        <v>0.0813</v>
      </c>
      <c r="I18" s="27">
        <v>0.0616</v>
      </c>
      <c r="J18" s="16">
        <v>0.0331</v>
      </c>
      <c r="K18" s="16">
        <v>0.1917</v>
      </c>
      <c r="L18" s="16">
        <v>0.1104</v>
      </c>
      <c r="M18" s="29">
        <v>0.377</v>
      </c>
    </row>
    <row r="19" ht="15.6" customHeight="1" spans="1:13">
      <c r="A19" s="12" t="s">
        <v>310</v>
      </c>
      <c r="B19" s="13" t="s">
        <v>156</v>
      </c>
      <c r="C19" s="13" t="s">
        <v>810</v>
      </c>
      <c r="D19" s="13" t="s">
        <v>787</v>
      </c>
      <c r="E19" s="16" t="s">
        <v>811</v>
      </c>
      <c r="F19" s="16">
        <v>-0.0012</v>
      </c>
      <c r="G19" s="16">
        <v>0.063</v>
      </c>
      <c r="H19" s="16">
        <v>0.1026</v>
      </c>
      <c r="I19" s="27">
        <v>0.1335</v>
      </c>
      <c r="J19" s="16">
        <v>0.0172</v>
      </c>
      <c r="K19" s="16">
        <v>0.0484</v>
      </c>
      <c r="L19" s="16">
        <v>0.0539</v>
      </c>
      <c r="M19" s="29">
        <v>2.1062</v>
      </c>
    </row>
    <row r="20" ht="15.6" customHeight="1" spans="1:13">
      <c r="A20" s="12" t="s">
        <v>812</v>
      </c>
      <c r="B20" s="13" t="s">
        <v>156</v>
      </c>
      <c r="C20" s="13" t="s">
        <v>813</v>
      </c>
      <c r="D20" s="13" t="s">
        <v>787</v>
      </c>
      <c r="E20" s="16" t="s">
        <v>485</v>
      </c>
      <c r="F20" s="16">
        <v>-0.0035</v>
      </c>
      <c r="G20" s="16">
        <v>0.0126</v>
      </c>
      <c r="H20" s="16">
        <v>0.0436</v>
      </c>
      <c r="I20" s="27">
        <v>0.0867</v>
      </c>
      <c r="J20" s="16">
        <v>0.0178</v>
      </c>
      <c r="K20" s="16">
        <v>0.0367</v>
      </c>
      <c r="L20" s="16">
        <v>0.0388</v>
      </c>
      <c r="M20" s="29">
        <v>1.7175</v>
      </c>
    </row>
    <row r="21" ht="15.6" customHeight="1" spans="1:13">
      <c r="A21" s="12" t="s">
        <v>457</v>
      </c>
      <c r="B21" s="13" t="s">
        <v>156</v>
      </c>
      <c r="C21" s="13" t="s">
        <v>814</v>
      </c>
      <c r="D21" s="13" t="s">
        <v>787</v>
      </c>
      <c r="E21" s="16" t="s">
        <v>815</v>
      </c>
      <c r="F21" s="16">
        <v>-0.0038</v>
      </c>
      <c r="G21" s="16">
        <v>0.0453</v>
      </c>
      <c r="H21" s="16">
        <v>0.0721</v>
      </c>
      <c r="I21" s="27">
        <v>0.1351</v>
      </c>
      <c r="J21" s="16">
        <v>0.0089</v>
      </c>
      <c r="K21" s="16">
        <v>0.0312</v>
      </c>
      <c r="L21" s="16">
        <v>0.0481</v>
      </c>
      <c r="M21" s="29">
        <v>2.3939</v>
      </c>
    </row>
    <row r="22" ht="15.6" customHeight="1" spans="1:13">
      <c r="A22" s="12" t="s">
        <v>816</v>
      </c>
      <c r="B22" s="13" t="s">
        <v>61</v>
      </c>
      <c r="C22" s="13" t="s">
        <v>817</v>
      </c>
      <c r="D22" s="13" t="s">
        <v>790</v>
      </c>
      <c r="E22" s="16" t="s">
        <v>818</v>
      </c>
      <c r="F22" s="16">
        <v>-0.0056</v>
      </c>
      <c r="G22" s="16">
        <v>-0.0085</v>
      </c>
      <c r="H22" s="16">
        <v>-0.0007</v>
      </c>
      <c r="I22" s="27">
        <v>0.0695</v>
      </c>
      <c r="J22" s="16">
        <v>0.061</v>
      </c>
      <c r="K22" s="16">
        <v>0.1517</v>
      </c>
      <c r="L22" s="16">
        <v>0.1175</v>
      </c>
      <c r="M22" s="29">
        <v>0.4209</v>
      </c>
    </row>
    <row r="23" ht="15.6" customHeight="1" spans="1:13">
      <c r="A23" s="12" t="s">
        <v>649</v>
      </c>
      <c r="B23" s="13" t="s">
        <v>217</v>
      </c>
      <c r="C23" s="13" t="s">
        <v>819</v>
      </c>
      <c r="D23" s="13" t="s">
        <v>787</v>
      </c>
      <c r="E23" s="16" t="s">
        <v>820</v>
      </c>
      <c r="F23" s="16">
        <v>-0.0076</v>
      </c>
      <c r="G23" s="16">
        <v>0.1139</v>
      </c>
      <c r="H23" s="16">
        <v>0.1742</v>
      </c>
      <c r="I23" s="27">
        <v>0.2291</v>
      </c>
      <c r="J23" s="16">
        <v>0.0157</v>
      </c>
      <c r="K23" s="16">
        <v>0.0309</v>
      </c>
      <c r="L23" s="16">
        <v>0.0537</v>
      </c>
      <c r="M23" s="29">
        <v>3.8956</v>
      </c>
    </row>
    <row r="24" ht="15.6" customHeight="1" spans="1:13">
      <c r="A24" s="12" t="s">
        <v>334</v>
      </c>
      <c r="B24" s="13" t="s">
        <v>61</v>
      </c>
      <c r="C24" s="13" t="s">
        <v>821</v>
      </c>
      <c r="D24" s="13" t="s">
        <v>787</v>
      </c>
      <c r="E24" s="16" t="s">
        <v>822</v>
      </c>
      <c r="F24" s="16">
        <v>-0.0081</v>
      </c>
      <c r="G24" s="16">
        <v>0.0401</v>
      </c>
      <c r="H24" s="16">
        <v>0.0593</v>
      </c>
      <c r="I24" s="27">
        <v>0.1084</v>
      </c>
      <c r="J24" s="16">
        <v>0.028</v>
      </c>
      <c r="K24" s="16">
        <v>0.04</v>
      </c>
      <c r="L24" s="16">
        <v>0.0719</v>
      </c>
      <c r="M24" s="29">
        <v>1.2295</v>
      </c>
    </row>
    <row r="25" ht="15.6" customHeight="1" spans="1:13">
      <c r="A25" s="12" t="s">
        <v>496</v>
      </c>
      <c r="B25" s="13" t="s">
        <v>54</v>
      </c>
      <c r="C25" s="13" t="s">
        <v>823</v>
      </c>
      <c r="D25" s="13" t="s">
        <v>787</v>
      </c>
      <c r="E25" s="16" t="s">
        <v>824</v>
      </c>
      <c r="F25" s="16">
        <v>-0.0081</v>
      </c>
      <c r="G25" s="16">
        <v>0.0275</v>
      </c>
      <c r="H25" s="16">
        <v>0.052</v>
      </c>
      <c r="I25" s="27">
        <v>-0.1435</v>
      </c>
      <c r="J25" s="16">
        <v>0.0266</v>
      </c>
      <c r="K25" s="16">
        <v>0.1892</v>
      </c>
      <c r="L25" s="16">
        <v>0.1229</v>
      </c>
      <c r="M25" s="29">
        <v>-1.3304</v>
      </c>
    </row>
    <row r="26" ht="15.6" customHeight="1" spans="1:13">
      <c r="A26" s="12" t="s">
        <v>589</v>
      </c>
      <c r="B26" s="13" t="s">
        <v>61</v>
      </c>
      <c r="C26" s="13" t="s">
        <v>825</v>
      </c>
      <c r="D26" s="13" t="s">
        <v>787</v>
      </c>
      <c r="E26" s="16" t="s">
        <v>826</v>
      </c>
      <c r="F26" s="16">
        <v>-0.0089</v>
      </c>
      <c r="G26" s="16">
        <v>0.106</v>
      </c>
      <c r="H26" s="16">
        <v>0.1216</v>
      </c>
      <c r="I26" s="27">
        <v>0.0677</v>
      </c>
      <c r="J26" s="16">
        <v>0.0285</v>
      </c>
      <c r="K26" s="16">
        <v>0.0708</v>
      </c>
      <c r="L26" s="16">
        <v>0.0652</v>
      </c>
      <c r="M26" s="29">
        <v>0.7312</v>
      </c>
    </row>
    <row r="27" ht="15.6" customHeight="1" spans="1:13">
      <c r="A27" s="12" t="s">
        <v>513</v>
      </c>
      <c r="B27" s="13" t="s">
        <v>156</v>
      </c>
      <c r="C27" s="13" t="s">
        <v>827</v>
      </c>
      <c r="D27" s="13" t="s">
        <v>787</v>
      </c>
      <c r="E27" s="16" t="s">
        <v>828</v>
      </c>
      <c r="F27" s="16">
        <v>-0.0138</v>
      </c>
      <c r="G27" s="16">
        <v>0.0511</v>
      </c>
      <c r="H27" s="16">
        <v>0.0741</v>
      </c>
      <c r="I27" s="27">
        <v>0.1009</v>
      </c>
      <c r="J27" s="16">
        <v>0.0319</v>
      </c>
      <c r="K27" s="16">
        <v>0.0585</v>
      </c>
      <c r="L27" s="16">
        <v>0.0725</v>
      </c>
      <c r="M27" s="29">
        <v>1.1161</v>
      </c>
    </row>
    <row r="28" ht="15.6" customHeight="1" spans="1:13">
      <c r="A28" s="12" t="s">
        <v>340</v>
      </c>
      <c r="B28" s="13" t="s">
        <v>54</v>
      </c>
      <c r="C28" s="13" t="s">
        <v>829</v>
      </c>
      <c r="D28" s="13" t="s">
        <v>787</v>
      </c>
      <c r="E28" s="16" t="s">
        <v>830</v>
      </c>
      <c r="F28" s="16">
        <v>-0.0204</v>
      </c>
      <c r="G28" s="16">
        <v>0.108</v>
      </c>
      <c r="H28" s="16">
        <v>0.1735</v>
      </c>
      <c r="I28" s="27">
        <v>0.3138</v>
      </c>
      <c r="J28" s="16">
        <v>0.0627</v>
      </c>
      <c r="K28" s="16">
        <v>0.0627</v>
      </c>
      <c r="L28" s="16">
        <v>0.1493</v>
      </c>
      <c r="M28" s="29">
        <v>1.968</v>
      </c>
    </row>
    <row r="29" ht="15.6" customHeight="1" spans="1:13">
      <c r="A29" s="12"/>
      <c r="B29" s="13"/>
      <c r="C29" s="13"/>
      <c r="D29" s="13"/>
      <c r="E29" s="16"/>
      <c r="F29" s="16"/>
      <c r="G29" s="16"/>
      <c r="H29" s="16"/>
      <c r="I29" s="29"/>
      <c r="J29" s="16"/>
      <c r="K29" s="16"/>
      <c r="L29" s="16"/>
      <c r="M29" s="29"/>
    </row>
    <row r="30" ht="15.6" customHeight="1" spans="1:13">
      <c r="A30" s="12"/>
      <c r="B30" s="13"/>
      <c r="C30" s="13"/>
      <c r="D30" s="13"/>
      <c r="E30" s="16"/>
      <c r="F30" s="16"/>
      <c r="G30" s="16"/>
      <c r="H30" s="16"/>
      <c r="I30" s="29"/>
      <c r="J30" s="16"/>
      <c r="K30" s="16"/>
      <c r="L30" s="16"/>
      <c r="M30" s="29"/>
    </row>
    <row r="31" ht="15.6" customHeight="1" spans="1:13">
      <c r="A31" s="12"/>
      <c r="B31" s="13"/>
      <c r="C31" s="13"/>
      <c r="D31" s="13"/>
      <c r="E31" s="16"/>
      <c r="F31" s="16"/>
      <c r="G31" s="16"/>
      <c r="H31" s="16"/>
      <c r="I31" s="29"/>
      <c r="J31" s="16"/>
      <c r="K31" s="16"/>
      <c r="L31" s="16"/>
      <c r="M31" s="29"/>
    </row>
    <row r="32" ht="15.6" customHeight="1" spans="1:13">
      <c r="A32" s="12"/>
      <c r="B32" s="13"/>
      <c r="C32" s="13"/>
      <c r="D32" s="13"/>
      <c r="E32" s="16"/>
      <c r="F32" s="16"/>
      <c r="G32" s="16"/>
      <c r="H32" s="16"/>
      <c r="I32" s="29"/>
      <c r="J32" s="16"/>
      <c r="K32" s="16"/>
      <c r="L32" s="16"/>
      <c r="M32" s="29"/>
    </row>
    <row r="33" ht="15.6" customHeight="1" spans="1:13">
      <c r="A33" s="12"/>
      <c r="B33" s="13"/>
      <c r="C33" s="13"/>
      <c r="D33" s="13"/>
      <c r="E33" s="16"/>
      <c r="F33" s="16"/>
      <c r="G33" s="16"/>
      <c r="H33" s="16"/>
      <c r="I33" s="29"/>
      <c r="J33" s="16"/>
      <c r="K33" s="16"/>
      <c r="L33" s="16"/>
      <c r="M33" s="29"/>
    </row>
    <row r="34" ht="15.6" customHeight="1" spans="1:13">
      <c r="A34" s="12"/>
      <c r="B34" s="13"/>
      <c r="C34" s="13"/>
      <c r="D34" s="13"/>
      <c r="E34" s="16"/>
      <c r="F34" s="16"/>
      <c r="G34" s="16"/>
      <c r="H34" s="16"/>
      <c r="I34" s="29"/>
      <c r="J34" s="16"/>
      <c r="K34" s="16"/>
      <c r="L34" s="16"/>
      <c r="M34" s="29"/>
    </row>
    <row r="35" ht="15.6" customHeight="1" spans="1:13">
      <c r="A35" s="12"/>
      <c r="B35" s="13"/>
      <c r="C35" s="13"/>
      <c r="D35" s="13"/>
      <c r="E35" s="16"/>
      <c r="F35" s="16"/>
      <c r="G35" s="16"/>
      <c r="H35" s="16"/>
      <c r="I35" s="29"/>
      <c r="J35" s="16"/>
      <c r="K35" s="16"/>
      <c r="L35" s="16"/>
      <c r="M35" s="29"/>
    </row>
    <row r="36" ht="15.6" customHeight="1" spans="1:13">
      <c r="A36" s="12"/>
      <c r="B36" s="13"/>
      <c r="C36" s="13"/>
      <c r="D36" s="13"/>
      <c r="E36" s="16"/>
      <c r="F36" s="16"/>
      <c r="G36" s="16"/>
      <c r="H36" s="16"/>
      <c r="I36" s="29"/>
      <c r="J36" s="16"/>
      <c r="K36" s="16"/>
      <c r="L36" s="16"/>
      <c r="M36" s="29"/>
    </row>
    <row r="37" ht="15.6" customHeight="1" spans="1:13">
      <c r="A37" s="12"/>
      <c r="B37" s="13"/>
      <c r="C37" s="13"/>
      <c r="D37" s="13"/>
      <c r="E37" s="16"/>
      <c r="F37" s="16"/>
      <c r="G37" s="16"/>
      <c r="H37" s="16"/>
      <c r="I37" s="29"/>
      <c r="J37" s="16"/>
      <c r="K37" s="16"/>
      <c r="L37" s="16"/>
      <c r="M37" s="29"/>
    </row>
    <row r="38" ht="15.6" customHeight="1" spans="1:13">
      <c r="A38" s="12"/>
      <c r="B38" s="13"/>
      <c r="C38" s="13"/>
      <c r="D38" s="13"/>
      <c r="E38" s="16"/>
      <c r="F38" s="16"/>
      <c r="G38" s="16"/>
      <c r="H38" s="16"/>
      <c r="I38" s="29"/>
      <c r="J38" s="16"/>
      <c r="K38" s="16"/>
      <c r="L38" s="16"/>
      <c r="M38" s="29"/>
    </row>
    <row r="39" ht="15.6" customHeight="1" spans="1:13">
      <c r="A39" s="12"/>
      <c r="B39" s="13"/>
      <c r="C39" s="13"/>
      <c r="D39" s="13"/>
      <c r="E39" s="16"/>
      <c r="F39" s="16"/>
      <c r="G39" s="16"/>
      <c r="H39" s="16"/>
      <c r="I39" s="29"/>
      <c r="J39" s="16"/>
      <c r="K39" s="16"/>
      <c r="L39" s="16"/>
      <c r="M39" s="29"/>
    </row>
    <row r="40" ht="15.6" customHeight="1" spans="1:13">
      <c r="A40" s="12"/>
      <c r="B40" s="13"/>
      <c r="C40" s="13"/>
      <c r="D40" s="13"/>
      <c r="E40" s="16"/>
      <c r="F40" s="16"/>
      <c r="G40" s="16"/>
      <c r="H40" s="16"/>
      <c r="I40" s="29"/>
      <c r="J40" s="16"/>
      <c r="K40" s="16"/>
      <c r="L40" s="16"/>
      <c r="M40" s="29"/>
    </row>
    <row r="41" ht="15.6" customHeight="1" spans="1:13">
      <c r="A41" s="12"/>
      <c r="B41" s="13"/>
      <c r="C41" s="13"/>
      <c r="D41" s="13"/>
      <c r="E41" s="16"/>
      <c r="F41" s="16"/>
      <c r="G41" s="16"/>
      <c r="H41" s="16"/>
      <c r="I41" s="29"/>
      <c r="J41" s="16"/>
      <c r="K41" s="16"/>
      <c r="L41" s="16"/>
      <c r="M41" s="29"/>
    </row>
    <row r="42" ht="15.6" customHeight="1" spans="1:13">
      <c r="A42" s="12"/>
      <c r="B42" s="13"/>
      <c r="C42" s="13"/>
      <c r="D42" s="13"/>
      <c r="E42" s="16"/>
      <c r="F42" s="16"/>
      <c r="G42" s="16"/>
      <c r="H42" s="16"/>
      <c r="I42" s="29"/>
      <c r="J42" s="16"/>
      <c r="K42" s="16"/>
      <c r="L42" s="16"/>
      <c r="M42" s="29"/>
    </row>
    <row r="43" ht="15.6" customHeight="1" spans="1:13">
      <c r="A43" s="12"/>
      <c r="B43" s="13"/>
      <c r="C43" s="13"/>
      <c r="D43" s="13"/>
      <c r="E43" s="16"/>
      <c r="F43" s="16"/>
      <c r="G43" s="16"/>
      <c r="H43" s="16"/>
      <c r="I43" s="29"/>
      <c r="J43" s="16"/>
      <c r="K43" s="16"/>
      <c r="L43" s="16"/>
      <c r="M43" s="29"/>
    </row>
    <row r="44" ht="15.6" customHeight="1" spans="1:13">
      <c r="A44" s="12"/>
      <c r="B44" s="13"/>
      <c r="C44" s="13"/>
      <c r="D44" s="13"/>
      <c r="E44" s="16"/>
      <c r="F44" s="16"/>
      <c r="G44" s="16"/>
      <c r="H44" s="16"/>
      <c r="I44" s="29"/>
      <c r="J44" s="16"/>
      <c r="K44" s="16"/>
      <c r="L44" s="16"/>
      <c r="M44" s="29"/>
    </row>
    <row r="45" ht="15.6" customHeight="1" spans="1:13">
      <c r="A45" s="12"/>
      <c r="B45" s="13"/>
      <c r="C45" s="13"/>
      <c r="D45" s="13"/>
      <c r="E45" s="16"/>
      <c r="F45" s="16"/>
      <c r="G45" s="16"/>
      <c r="H45" s="16"/>
      <c r="I45" s="29"/>
      <c r="J45" s="16"/>
      <c r="K45" s="16"/>
      <c r="L45" s="16"/>
      <c r="M45" s="29"/>
    </row>
    <row r="46" ht="15.6" customHeight="1" spans="1:13">
      <c r="A46" s="12"/>
      <c r="B46" s="13"/>
      <c r="C46" s="13"/>
      <c r="D46" s="13"/>
      <c r="E46" s="16"/>
      <c r="F46" s="16"/>
      <c r="G46" s="16"/>
      <c r="H46" s="16"/>
      <c r="I46" s="29"/>
      <c r="J46" s="16"/>
      <c r="K46" s="16"/>
      <c r="L46" s="16"/>
      <c r="M46" s="29"/>
    </row>
    <row r="47" ht="15.6" customHeight="1" spans="1:13">
      <c r="A47" s="12"/>
      <c r="B47" s="13"/>
      <c r="C47" s="13"/>
      <c r="D47" s="13"/>
      <c r="E47" s="16"/>
      <c r="F47" s="16"/>
      <c r="G47" s="16"/>
      <c r="H47" s="16"/>
      <c r="I47" s="29"/>
      <c r="J47" s="16"/>
      <c r="K47" s="16"/>
      <c r="L47" s="16"/>
      <c r="M47" s="29"/>
    </row>
    <row r="48" ht="15.6" customHeight="1" spans="1:13">
      <c r="A48" s="12"/>
      <c r="B48" s="13"/>
      <c r="C48" s="13"/>
      <c r="D48" s="13"/>
      <c r="E48" s="16"/>
      <c r="F48" s="16"/>
      <c r="G48" s="16"/>
      <c r="H48" s="16"/>
      <c r="I48" s="29"/>
      <c r="J48" s="16"/>
      <c r="K48" s="16"/>
      <c r="L48" s="16"/>
      <c r="M48" s="29"/>
    </row>
    <row r="49" ht="15.6" customHeight="1" spans="1:13">
      <c r="A49" s="12"/>
      <c r="B49" s="13"/>
      <c r="C49" s="13"/>
      <c r="D49" s="13"/>
      <c r="E49" s="16"/>
      <c r="F49" s="16"/>
      <c r="G49" s="16"/>
      <c r="H49" s="16"/>
      <c r="I49" s="29"/>
      <c r="J49" s="16"/>
      <c r="K49" s="16"/>
      <c r="L49" s="16"/>
      <c r="M49" s="29"/>
    </row>
    <row r="50" ht="15.6" customHeight="1" spans="1:13">
      <c r="A50" s="12"/>
      <c r="B50" s="13"/>
      <c r="C50" s="13"/>
      <c r="D50" s="13"/>
      <c r="E50" s="16"/>
      <c r="F50" s="16"/>
      <c r="G50" s="16"/>
      <c r="H50" s="16"/>
      <c r="I50" s="29"/>
      <c r="J50" s="16"/>
      <c r="K50" s="16"/>
      <c r="L50" s="16"/>
      <c r="M50" s="29"/>
    </row>
    <row r="51" ht="15.6" customHeight="1" spans="1:13">
      <c r="A51" s="12"/>
      <c r="B51" s="13"/>
      <c r="C51" s="13"/>
      <c r="D51" s="13"/>
      <c r="E51" s="16"/>
      <c r="F51" s="16"/>
      <c r="G51" s="16"/>
      <c r="H51" s="16"/>
      <c r="I51" s="29"/>
      <c r="J51" s="16"/>
      <c r="K51" s="16"/>
      <c r="L51" s="16"/>
      <c r="M51" s="29"/>
    </row>
    <row r="52" ht="15.6" customHeight="1" spans="1:13">
      <c r="A52" s="12"/>
      <c r="B52" s="13"/>
      <c r="C52" s="13"/>
      <c r="D52" s="13"/>
      <c r="E52" s="16"/>
      <c r="F52" s="16"/>
      <c r="G52" s="16"/>
      <c r="H52" s="16"/>
      <c r="I52" s="29"/>
      <c r="J52" s="16"/>
      <c r="K52" s="16"/>
      <c r="L52" s="16"/>
      <c r="M52" s="29"/>
    </row>
    <row r="53" ht="15.6" customHeight="1" spans="1:13">
      <c r="A53" s="12"/>
      <c r="B53" s="13"/>
      <c r="C53" s="13"/>
      <c r="D53" s="13"/>
      <c r="E53" s="16"/>
      <c r="F53" s="16"/>
      <c r="G53" s="16"/>
      <c r="H53" s="16"/>
      <c r="I53" s="29"/>
      <c r="J53" s="16"/>
      <c r="K53" s="16"/>
      <c r="L53" s="16"/>
      <c r="M53" s="29"/>
    </row>
    <row r="54" ht="15.6" customHeight="1" spans="1:13">
      <c r="A54" s="12"/>
      <c r="B54" s="13"/>
      <c r="C54" s="13"/>
      <c r="D54" s="13"/>
      <c r="E54" s="16"/>
      <c r="F54" s="16"/>
      <c r="G54" s="16"/>
      <c r="H54" s="16"/>
      <c r="I54" s="29"/>
      <c r="J54" s="16"/>
      <c r="K54" s="16"/>
      <c r="L54" s="16"/>
      <c r="M54" s="29"/>
    </row>
    <row r="55" ht="15.6" customHeight="1" spans="1:13">
      <c r="A55" s="12"/>
      <c r="B55" s="13"/>
      <c r="C55" s="13"/>
      <c r="D55" s="13"/>
      <c r="E55" s="16"/>
      <c r="F55" s="16"/>
      <c r="G55" s="16"/>
      <c r="H55" s="16"/>
      <c r="I55" s="29"/>
      <c r="J55" s="16"/>
      <c r="K55" s="16"/>
      <c r="L55" s="16"/>
      <c r="M55" s="29"/>
    </row>
    <row r="56" ht="15.6" customHeight="1" spans="1:13">
      <c r="A56" s="12"/>
      <c r="B56" s="13"/>
      <c r="C56" s="13"/>
      <c r="D56" s="13"/>
      <c r="E56" s="16"/>
      <c r="F56" s="16"/>
      <c r="G56" s="16"/>
      <c r="H56" s="16"/>
      <c r="I56" s="29"/>
      <c r="J56" s="16"/>
      <c r="K56" s="16"/>
      <c r="L56" s="16"/>
      <c r="M56" s="29"/>
    </row>
    <row r="57" ht="15.6" customHeight="1" spans="1:13">
      <c r="A57" s="12"/>
      <c r="B57" s="13"/>
      <c r="C57" s="13"/>
      <c r="D57" s="13"/>
      <c r="E57" s="16"/>
      <c r="F57" s="16"/>
      <c r="G57" s="16"/>
      <c r="H57" s="16"/>
      <c r="I57" s="29"/>
      <c r="J57" s="16"/>
      <c r="K57" s="16"/>
      <c r="L57" s="16"/>
      <c r="M57" s="29"/>
    </row>
    <row r="58" ht="15.6" customHeight="1" spans="1:13">
      <c r="A58" s="12"/>
      <c r="B58" s="13"/>
      <c r="C58" s="13"/>
      <c r="D58" s="13"/>
      <c r="E58" s="16"/>
      <c r="F58" s="16"/>
      <c r="G58" s="16"/>
      <c r="H58" s="16"/>
      <c r="I58" s="29"/>
      <c r="J58" s="16"/>
      <c r="K58" s="16"/>
      <c r="L58" s="16"/>
      <c r="M58" s="29"/>
    </row>
    <row r="59" ht="15.6" customHeight="1" spans="1:13">
      <c r="A59" s="12"/>
      <c r="B59" s="13"/>
      <c r="C59" s="13"/>
      <c r="D59" s="13"/>
      <c r="E59" s="16"/>
      <c r="F59" s="16"/>
      <c r="G59" s="16"/>
      <c r="H59" s="16"/>
      <c r="I59" s="29"/>
      <c r="J59" s="16"/>
      <c r="K59" s="16"/>
      <c r="L59" s="16"/>
      <c r="M59" s="29"/>
    </row>
    <row r="60" ht="15.6" customHeight="1" spans="1:13">
      <c r="A60" s="12"/>
      <c r="B60" s="13"/>
      <c r="C60" s="13"/>
      <c r="D60" s="13"/>
      <c r="E60" s="16"/>
      <c r="F60" s="16"/>
      <c r="G60" s="16"/>
      <c r="H60" s="16"/>
      <c r="I60" s="29"/>
      <c r="J60" s="16"/>
      <c r="K60" s="16"/>
      <c r="L60" s="16"/>
      <c r="M60" s="29"/>
    </row>
    <row r="61" ht="15.6" customHeight="1" spans="1:13">
      <c r="A61" s="12"/>
      <c r="B61" s="13"/>
      <c r="C61" s="13"/>
      <c r="D61" s="13"/>
      <c r="E61" s="16"/>
      <c r="F61" s="16"/>
      <c r="G61" s="16"/>
      <c r="H61" s="16"/>
      <c r="I61" s="29"/>
      <c r="J61" s="16"/>
      <c r="K61" s="16"/>
      <c r="L61" s="16"/>
      <c r="M61" s="29"/>
    </row>
    <row r="62" ht="15.6" customHeight="1" spans="1:13">
      <c r="A62" s="12"/>
      <c r="B62" s="13"/>
      <c r="C62" s="13"/>
      <c r="D62" s="13"/>
      <c r="E62" s="16"/>
      <c r="F62" s="16"/>
      <c r="G62" s="16"/>
      <c r="H62" s="16"/>
      <c r="I62" s="29"/>
      <c r="J62" s="16"/>
      <c r="K62" s="16"/>
      <c r="L62" s="16"/>
      <c r="M62" s="29"/>
    </row>
    <row r="63" ht="15.6" customHeight="1" spans="1:13">
      <c r="A63" s="12"/>
      <c r="B63" s="13"/>
      <c r="C63" s="13"/>
      <c r="D63" s="13"/>
      <c r="E63" s="16"/>
      <c r="F63" s="16"/>
      <c r="G63" s="16"/>
      <c r="H63" s="16"/>
      <c r="I63" s="29"/>
      <c r="J63" s="16"/>
      <c r="K63" s="16"/>
      <c r="L63" s="16"/>
      <c r="M63" s="29"/>
    </row>
    <row r="64" ht="15.6" customHeight="1" spans="1:13">
      <c r="A64" s="12"/>
      <c r="B64" s="13"/>
      <c r="C64" s="13"/>
      <c r="D64" s="13"/>
      <c r="E64" s="16"/>
      <c r="F64" s="16"/>
      <c r="G64" s="16"/>
      <c r="H64" s="16"/>
      <c r="I64" s="29"/>
      <c r="J64" s="16"/>
      <c r="K64" s="16"/>
      <c r="L64" s="16"/>
      <c r="M64" s="29"/>
    </row>
    <row r="65" ht="15.6" customHeight="1" spans="1:13">
      <c r="A65" s="12"/>
      <c r="B65" s="13"/>
      <c r="C65" s="13"/>
      <c r="D65" s="13"/>
      <c r="E65" s="16"/>
      <c r="F65" s="16"/>
      <c r="G65" s="16"/>
      <c r="H65" s="16"/>
      <c r="I65" s="29"/>
      <c r="J65" s="16"/>
      <c r="K65" s="16"/>
      <c r="L65" s="16"/>
      <c r="M65" s="29"/>
    </row>
    <row r="66" ht="15.6" customHeight="1" spans="1:13">
      <c r="A66" s="12"/>
      <c r="B66" s="13"/>
      <c r="C66" s="13"/>
      <c r="D66" s="13"/>
      <c r="E66" s="16"/>
      <c r="F66" s="16"/>
      <c r="G66" s="16"/>
      <c r="H66" s="16"/>
      <c r="I66" s="29"/>
      <c r="J66" s="16"/>
      <c r="K66" s="16"/>
      <c r="L66" s="16"/>
      <c r="M66" s="29"/>
    </row>
    <row r="67" ht="15.6" customHeight="1" spans="1:13">
      <c r="A67" s="12"/>
      <c r="B67" s="13"/>
      <c r="C67" s="13"/>
      <c r="D67" s="13"/>
      <c r="E67" s="16"/>
      <c r="F67" s="16"/>
      <c r="G67" s="16"/>
      <c r="H67" s="16"/>
      <c r="I67" s="29"/>
      <c r="J67" s="16"/>
      <c r="K67" s="16"/>
      <c r="L67" s="16"/>
      <c r="M67" s="29"/>
    </row>
    <row r="68" ht="15.6" customHeight="1" spans="1:13">
      <c r="A68" s="12"/>
      <c r="B68" s="13"/>
      <c r="C68" s="13"/>
      <c r="D68" s="13"/>
      <c r="E68" s="16"/>
      <c r="F68" s="16"/>
      <c r="G68" s="16"/>
      <c r="H68" s="16"/>
      <c r="I68" s="29"/>
      <c r="J68" s="16"/>
      <c r="K68" s="16"/>
      <c r="L68" s="16"/>
      <c r="M68" s="29"/>
    </row>
    <row r="69" ht="15.6" customHeight="1" spans="1:13">
      <c r="A69" s="12"/>
      <c r="B69" s="13"/>
      <c r="C69" s="13"/>
      <c r="D69" s="13"/>
      <c r="E69" s="16"/>
      <c r="F69" s="16"/>
      <c r="G69" s="16"/>
      <c r="H69" s="16"/>
      <c r="I69" s="29"/>
      <c r="J69" s="16"/>
      <c r="K69" s="16"/>
      <c r="L69" s="16"/>
      <c r="M69" s="29"/>
    </row>
    <row r="70" ht="15.6" customHeight="1" spans="1:13">
      <c r="A70" s="12"/>
      <c r="B70" s="13"/>
      <c r="C70" s="13"/>
      <c r="D70" s="13"/>
      <c r="E70" s="16"/>
      <c r="F70" s="16"/>
      <c r="G70" s="16"/>
      <c r="H70" s="16"/>
      <c r="I70" s="29"/>
      <c r="J70" s="16"/>
      <c r="K70" s="16"/>
      <c r="L70" s="16"/>
      <c r="M70" s="29"/>
    </row>
    <row r="71" ht="15.6" customHeight="1" spans="1:13">
      <c r="A71" s="12"/>
      <c r="B71" s="13"/>
      <c r="C71" s="13"/>
      <c r="D71" s="13"/>
      <c r="E71" s="16"/>
      <c r="F71" s="16"/>
      <c r="G71" s="16"/>
      <c r="H71" s="16"/>
      <c r="I71" s="29"/>
      <c r="J71" s="16"/>
      <c r="K71" s="16"/>
      <c r="L71" s="16"/>
      <c r="M71" s="29"/>
    </row>
    <row r="72" ht="15.6" customHeight="1" spans="1:13">
      <c r="A72" s="12"/>
      <c r="B72" s="13"/>
      <c r="C72" s="13"/>
      <c r="D72" s="13"/>
      <c r="E72" s="16"/>
      <c r="F72" s="16"/>
      <c r="G72" s="16"/>
      <c r="H72" s="16"/>
      <c r="I72" s="29"/>
      <c r="J72" s="16"/>
      <c r="K72" s="16"/>
      <c r="L72" s="16"/>
      <c r="M72" s="29"/>
    </row>
    <row r="73" ht="15.6" customHeight="1" spans="1:13">
      <c r="A73" s="12"/>
      <c r="B73" s="13"/>
      <c r="C73" s="13"/>
      <c r="D73" s="13"/>
      <c r="E73" s="16"/>
      <c r="F73" s="16"/>
      <c r="G73" s="16"/>
      <c r="H73" s="16"/>
      <c r="I73" s="29"/>
      <c r="J73" s="16"/>
      <c r="K73" s="16"/>
      <c r="L73" s="16"/>
      <c r="M73" s="29"/>
    </row>
    <row r="74" ht="15.6" customHeight="1" spans="1:13">
      <c r="A74" s="12"/>
      <c r="B74" s="13"/>
      <c r="C74" s="13"/>
      <c r="D74" s="13"/>
      <c r="E74" s="16"/>
      <c r="F74" s="16"/>
      <c r="G74" s="16"/>
      <c r="H74" s="16"/>
      <c r="I74" s="29"/>
      <c r="J74" s="16"/>
      <c r="K74" s="16"/>
      <c r="L74" s="16"/>
      <c r="M74" s="29"/>
    </row>
    <row r="75" ht="15.6" customHeight="1" spans="1:13">
      <c r="A75" s="12"/>
      <c r="B75" s="13"/>
      <c r="C75" s="13"/>
      <c r="D75" s="13"/>
      <c r="E75" s="16"/>
      <c r="F75" s="16"/>
      <c r="G75" s="16"/>
      <c r="H75" s="16"/>
      <c r="I75" s="29"/>
      <c r="J75" s="16"/>
      <c r="K75" s="16"/>
      <c r="L75" s="16"/>
      <c r="M75" s="29"/>
    </row>
    <row r="76" ht="15.6" customHeight="1" spans="1:13">
      <c r="A76" s="12"/>
      <c r="B76" s="13"/>
      <c r="C76" s="13"/>
      <c r="D76" s="13"/>
      <c r="E76" s="16"/>
      <c r="F76" s="16"/>
      <c r="G76" s="16"/>
      <c r="H76" s="16"/>
      <c r="I76" s="29"/>
      <c r="J76" s="16"/>
      <c r="K76" s="16"/>
      <c r="L76" s="16"/>
      <c r="M76" s="29"/>
    </row>
    <row r="77" ht="15.6" customHeight="1" spans="1:13">
      <c r="A77" s="12"/>
      <c r="B77" s="13"/>
      <c r="C77" s="13"/>
      <c r="D77" s="13"/>
      <c r="E77" s="16"/>
      <c r="F77" s="16"/>
      <c r="G77" s="16"/>
      <c r="H77" s="16"/>
      <c r="I77" s="29"/>
      <c r="J77" s="16"/>
      <c r="K77" s="16"/>
      <c r="L77" s="16"/>
      <c r="M77" s="29"/>
    </row>
    <row r="78" ht="15.6" customHeight="1" spans="1:13">
      <c r="A78" s="12"/>
      <c r="B78" s="13"/>
      <c r="C78" s="13"/>
      <c r="D78" s="13"/>
      <c r="E78" s="16"/>
      <c r="F78" s="16"/>
      <c r="G78" s="16"/>
      <c r="H78" s="16"/>
      <c r="I78" s="29"/>
      <c r="J78" s="16"/>
      <c r="K78" s="16"/>
      <c r="L78" s="16"/>
      <c r="M78" s="29"/>
    </row>
    <row r="79" ht="15.6" customHeight="1" spans="1:13">
      <c r="A79" s="12"/>
      <c r="B79" s="13"/>
      <c r="C79" s="13"/>
      <c r="D79" s="13"/>
      <c r="E79" s="16"/>
      <c r="F79" s="16"/>
      <c r="G79" s="16"/>
      <c r="H79" s="16"/>
      <c r="I79" s="29"/>
      <c r="J79" s="16"/>
      <c r="K79" s="16"/>
      <c r="L79" s="16"/>
      <c r="M79" s="29"/>
    </row>
    <row r="80" ht="15.6" customHeight="1" spans="1:13">
      <c r="A80" s="12"/>
      <c r="B80" s="13"/>
      <c r="C80" s="13"/>
      <c r="D80" s="13"/>
      <c r="E80" s="16"/>
      <c r="F80" s="16"/>
      <c r="G80" s="16"/>
      <c r="H80" s="16"/>
      <c r="I80" s="29"/>
      <c r="J80" s="16"/>
      <c r="K80" s="16"/>
      <c r="L80" s="16"/>
      <c r="M80" s="29"/>
    </row>
    <row r="81" ht="15.6" customHeight="1" spans="1:13">
      <c r="A81" s="12"/>
      <c r="B81" s="13"/>
      <c r="C81" s="13"/>
      <c r="D81" s="13"/>
      <c r="E81" s="16"/>
      <c r="F81" s="16"/>
      <c r="G81" s="16"/>
      <c r="H81" s="16"/>
      <c r="I81" s="29"/>
      <c r="J81" s="16"/>
      <c r="K81" s="16"/>
      <c r="L81" s="16"/>
      <c r="M81" s="29"/>
    </row>
    <row r="82" ht="15.6" customHeight="1" spans="1:13">
      <c r="A82" s="12"/>
      <c r="B82" s="13"/>
      <c r="C82" s="13"/>
      <c r="D82" s="13"/>
      <c r="E82" s="16"/>
      <c r="F82" s="16"/>
      <c r="G82" s="16"/>
      <c r="H82" s="16"/>
      <c r="I82" s="29"/>
      <c r="J82" s="16"/>
      <c r="K82" s="16"/>
      <c r="L82" s="16"/>
      <c r="M82" s="29"/>
    </row>
    <row r="83" ht="15.6" customHeight="1" spans="1:13">
      <c r="A83" s="12"/>
      <c r="B83" s="13"/>
      <c r="C83" s="13"/>
      <c r="D83" s="13"/>
      <c r="E83" s="16"/>
      <c r="F83" s="16"/>
      <c r="G83" s="16"/>
      <c r="H83" s="16"/>
      <c r="I83" s="29"/>
      <c r="J83" s="16"/>
      <c r="K83" s="16"/>
      <c r="L83" s="16"/>
      <c r="M83" s="29"/>
    </row>
    <row r="84" ht="15.6" customHeight="1" spans="1:13">
      <c r="A84" s="12"/>
      <c r="B84" s="13"/>
      <c r="C84" s="13"/>
      <c r="D84" s="13"/>
      <c r="E84" s="16"/>
      <c r="F84" s="16"/>
      <c r="G84" s="16"/>
      <c r="H84" s="16"/>
      <c r="I84" s="29"/>
      <c r="J84" s="16"/>
      <c r="K84" s="16"/>
      <c r="L84" s="16"/>
      <c r="M84" s="29"/>
    </row>
    <row r="85" ht="15.6" customHeight="1" spans="1:13">
      <c r="A85" s="12"/>
      <c r="B85" s="13"/>
      <c r="C85" s="13"/>
      <c r="D85" s="13"/>
      <c r="E85" s="16"/>
      <c r="F85" s="16"/>
      <c r="G85" s="16"/>
      <c r="H85" s="16"/>
      <c r="I85" s="29"/>
      <c r="J85" s="16"/>
      <c r="K85" s="16"/>
      <c r="L85" s="16"/>
      <c r="M85" s="29"/>
    </row>
    <row r="86" ht="15.6" customHeight="1" spans="1:13">
      <c r="A86" s="12"/>
      <c r="B86" s="13"/>
      <c r="C86" s="13"/>
      <c r="D86" s="13"/>
      <c r="E86" s="16"/>
      <c r="F86" s="16"/>
      <c r="G86" s="16"/>
      <c r="H86" s="16"/>
      <c r="I86" s="29"/>
      <c r="J86" s="16"/>
      <c r="K86" s="16"/>
      <c r="L86" s="16"/>
      <c r="M86" s="29"/>
    </row>
    <row r="87" ht="15.6" customHeight="1" spans="1:13">
      <c r="A87" s="12"/>
      <c r="B87" s="13"/>
      <c r="C87" s="13"/>
      <c r="D87" s="13"/>
      <c r="E87" s="16"/>
      <c r="F87" s="16"/>
      <c r="G87" s="16"/>
      <c r="H87" s="16"/>
      <c r="I87" s="29"/>
      <c r="J87" s="16"/>
      <c r="K87" s="16"/>
      <c r="L87" s="16"/>
      <c r="M87" s="29"/>
    </row>
    <row r="88" ht="15.6" customHeight="1" spans="1:13">
      <c r="A88" s="12"/>
      <c r="B88" s="13"/>
      <c r="C88" s="13"/>
      <c r="D88" s="13"/>
      <c r="E88" s="16"/>
      <c r="F88" s="16"/>
      <c r="G88" s="16"/>
      <c r="H88" s="16"/>
      <c r="I88" s="29"/>
      <c r="J88" s="16"/>
      <c r="K88" s="16"/>
      <c r="L88" s="16"/>
      <c r="M88" s="29"/>
    </row>
    <row r="89" ht="15.6" customHeight="1" spans="1:13">
      <c r="A89" s="12"/>
      <c r="B89" s="13"/>
      <c r="C89" s="13"/>
      <c r="D89" s="13"/>
      <c r="E89" s="16"/>
      <c r="F89" s="16"/>
      <c r="G89" s="16"/>
      <c r="H89" s="16"/>
      <c r="I89" s="29"/>
      <c r="J89" s="16"/>
      <c r="K89" s="16"/>
      <c r="L89" s="16"/>
      <c r="M89" s="29"/>
    </row>
    <row r="90" ht="15.6" customHeight="1" spans="1:13">
      <c r="A90" s="12"/>
      <c r="B90" s="13"/>
      <c r="C90" s="13"/>
      <c r="D90" s="13"/>
      <c r="E90" s="16"/>
      <c r="F90" s="16"/>
      <c r="G90" s="16"/>
      <c r="H90" s="16"/>
      <c r="I90" s="29"/>
      <c r="J90" s="16"/>
      <c r="K90" s="16"/>
      <c r="L90" s="16"/>
      <c r="M90" s="29"/>
    </row>
    <row r="91" ht="15.6" customHeight="1" spans="1:13">
      <c r="A91" s="12"/>
      <c r="B91" s="13"/>
      <c r="C91" s="13"/>
      <c r="D91" s="13"/>
      <c r="E91" s="16"/>
      <c r="F91" s="16"/>
      <c r="G91" s="16"/>
      <c r="H91" s="16"/>
      <c r="I91" s="29"/>
      <c r="J91" s="16"/>
      <c r="K91" s="16"/>
      <c r="L91" s="16"/>
      <c r="M91" s="29"/>
    </row>
    <row r="92" ht="15.6" customHeight="1" spans="1:13">
      <c r="A92" s="12"/>
      <c r="B92" s="13"/>
      <c r="C92" s="13"/>
      <c r="D92" s="13"/>
      <c r="E92" s="16"/>
      <c r="F92" s="16"/>
      <c r="G92" s="16"/>
      <c r="H92" s="16"/>
      <c r="I92" s="29"/>
      <c r="J92" s="16"/>
      <c r="K92" s="16"/>
      <c r="L92" s="16"/>
      <c r="M92" s="29"/>
    </row>
    <row r="93" ht="15.6" customHeight="1" spans="1:13">
      <c r="A93" s="12"/>
      <c r="B93" s="13"/>
      <c r="C93" s="13"/>
      <c r="D93" s="13"/>
      <c r="E93" s="16"/>
      <c r="F93" s="16"/>
      <c r="G93" s="16"/>
      <c r="H93" s="16"/>
      <c r="I93" s="29"/>
      <c r="J93" s="16"/>
      <c r="K93" s="16"/>
      <c r="L93" s="16"/>
      <c r="M93" s="29"/>
    </row>
    <row r="94" ht="15.6" customHeight="1" spans="1:13">
      <c r="A94" s="12"/>
      <c r="B94" s="13"/>
      <c r="C94" s="13"/>
      <c r="D94" s="13"/>
      <c r="E94" s="16"/>
      <c r="F94" s="16"/>
      <c r="G94" s="16"/>
      <c r="H94" s="16"/>
      <c r="I94" s="29"/>
      <c r="J94" s="16"/>
      <c r="K94" s="16"/>
      <c r="L94" s="16"/>
      <c r="M94" s="29"/>
    </row>
    <row r="95" ht="15.6" customHeight="1" spans="1:13">
      <c r="A95" s="12"/>
      <c r="B95" s="13"/>
      <c r="C95" s="13"/>
      <c r="D95" s="13"/>
      <c r="E95" s="16"/>
      <c r="F95" s="16"/>
      <c r="G95" s="16"/>
      <c r="H95" s="16"/>
      <c r="I95" s="29"/>
      <c r="J95" s="16"/>
      <c r="K95" s="16"/>
      <c r="L95" s="16"/>
      <c r="M95" s="29"/>
    </row>
    <row r="96" ht="15.6" customHeight="1" spans="1:13">
      <c r="A96" s="12"/>
      <c r="B96" s="13"/>
      <c r="C96" s="13"/>
      <c r="D96" s="13"/>
      <c r="E96" s="16"/>
      <c r="F96" s="16"/>
      <c r="G96" s="16"/>
      <c r="H96" s="16"/>
      <c r="I96" s="29"/>
      <c r="J96" s="16"/>
      <c r="K96" s="16"/>
      <c r="L96" s="16"/>
      <c r="M96" s="29"/>
    </row>
    <row r="97" ht="15.6" customHeight="1" spans="1:13">
      <c r="A97" s="12"/>
      <c r="B97" s="13"/>
      <c r="C97" s="13"/>
      <c r="D97" s="13"/>
      <c r="E97" s="16"/>
      <c r="F97" s="16"/>
      <c r="G97" s="16"/>
      <c r="H97" s="16"/>
      <c r="I97" s="29"/>
      <c r="J97" s="16"/>
      <c r="K97" s="16"/>
      <c r="L97" s="16"/>
      <c r="M97" s="29"/>
    </row>
    <row r="98" ht="15.6" customHeight="1" spans="1:13">
      <c r="A98" s="12"/>
      <c r="B98" s="13"/>
      <c r="C98" s="13"/>
      <c r="D98" s="13"/>
      <c r="E98" s="16"/>
      <c r="F98" s="16"/>
      <c r="G98" s="16"/>
      <c r="H98" s="16"/>
      <c r="I98" s="29"/>
      <c r="J98" s="16"/>
      <c r="K98" s="16"/>
      <c r="L98" s="16"/>
      <c r="M98" s="29"/>
    </row>
    <row r="99" ht="15.6" customHeight="1" spans="1:13">
      <c r="A99" s="12"/>
      <c r="B99" s="13"/>
      <c r="C99" s="13"/>
      <c r="D99" s="13"/>
      <c r="E99" s="16"/>
      <c r="F99" s="16"/>
      <c r="G99" s="16"/>
      <c r="H99" s="16"/>
      <c r="I99" s="29"/>
      <c r="J99" s="16"/>
      <c r="K99" s="16"/>
      <c r="L99" s="16"/>
      <c r="M99" s="29"/>
    </row>
    <row r="100" ht="15.6" customHeight="1" spans="1:13">
      <c r="A100" s="12"/>
      <c r="B100" s="13"/>
      <c r="C100" s="13"/>
      <c r="D100" s="13"/>
      <c r="E100" s="16"/>
      <c r="F100" s="16"/>
      <c r="G100" s="16"/>
      <c r="H100" s="16"/>
      <c r="I100" s="29"/>
      <c r="J100" s="16"/>
      <c r="K100" s="16"/>
      <c r="L100" s="16"/>
      <c r="M100" s="29"/>
    </row>
  </sheetData>
  <mergeCells count="4">
    <mergeCell ref="A1:B1"/>
    <mergeCell ref="C1:E1"/>
    <mergeCell ref="F1:I1"/>
    <mergeCell ref="J1:K1"/>
  </mergeCells>
  <conditionalFormatting sqref="A3:E100 J3:M100">
    <cfRule type="expression" dxfId="0" priority="2">
      <formula>MOD(ROW(),2)=0</formula>
    </cfRule>
  </conditionalFormatting>
  <conditionalFormatting sqref="F3:I100">
    <cfRule type="expression" dxfId="0" priority="1">
      <formula>MOD(ROW(),2)=0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W100"/>
  <sheetViews>
    <sheetView workbookViewId="0">
      <pane ySplit="2" topLeftCell="A3" activePane="bottomLeft" state="frozen"/>
      <selection/>
      <selection pane="bottomLeft" activeCell="P8" sqref="P8"/>
    </sheetView>
  </sheetViews>
  <sheetFormatPr defaultColWidth="9" defaultRowHeight="14.4"/>
  <cols>
    <col min="8" max="8" width="9.44444444444444" customWidth="1"/>
    <col min="11" max="12" width="9.44444444444444" customWidth="1"/>
  </cols>
  <sheetData>
    <row r="1" ht="31.2" customHeight="1" spans="1:23">
      <c r="A1" s="1" t="s">
        <v>0</v>
      </c>
      <c r="B1" s="2"/>
      <c r="C1" s="3" t="s">
        <v>1</v>
      </c>
      <c r="D1" s="4"/>
      <c r="E1" s="5"/>
      <c r="F1" s="6" t="s">
        <v>2</v>
      </c>
      <c r="G1" s="7"/>
      <c r="H1" s="7"/>
      <c r="I1" s="2"/>
      <c r="J1" s="17" t="s">
        <v>3</v>
      </c>
      <c r="K1" s="2"/>
      <c r="L1" s="18" t="s">
        <v>4</v>
      </c>
      <c r="M1" s="19" t="s">
        <v>5</v>
      </c>
      <c r="N1" s="20" t="s">
        <v>6</v>
      </c>
      <c r="O1" s="21" t="s">
        <v>7</v>
      </c>
      <c r="P1" s="21" t="s">
        <v>8</v>
      </c>
      <c r="Q1" s="21" t="s">
        <v>9</v>
      </c>
      <c r="R1" s="30" t="s">
        <v>10</v>
      </c>
      <c r="S1" s="31" t="s">
        <v>11</v>
      </c>
      <c r="T1" s="32" t="s">
        <v>12</v>
      </c>
      <c r="U1" s="32" t="s">
        <v>13</v>
      </c>
      <c r="V1" s="32" t="s">
        <v>14</v>
      </c>
      <c r="W1" s="33" t="s">
        <v>15</v>
      </c>
    </row>
    <row r="2" ht="47.55" customHeight="1" spans="1:23">
      <c r="A2" s="8" t="s">
        <v>16</v>
      </c>
      <c r="B2" s="9" t="s">
        <v>17</v>
      </c>
      <c r="C2" s="10" t="s">
        <v>18</v>
      </c>
      <c r="D2" s="10" t="s">
        <v>19</v>
      </c>
      <c r="E2" s="10" t="s">
        <v>20</v>
      </c>
      <c r="F2" s="11" t="s">
        <v>21</v>
      </c>
      <c r="G2" s="11" t="s">
        <v>22</v>
      </c>
      <c r="H2" s="11" t="s">
        <v>23</v>
      </c>
      <c r="I2" s="11" t="s">
        <v>24</v>
      </c>
      <c r="J2" s="22" t="s">
        <v>25</v>
      </c>
      <c r="K2" s="22" t="s">
        <v>26</v>
      </c>
      <c r="L2" s="23" t="s">
        <v>27</v>
      </c>
      <c r="M2" s="24" t="s">
        <v>28</v>
      </c>
      <c r="N2" s="25">
        <f>QUARTILE(F3:F200,4)</f>
        <v>0.1</v>
      </c>
      <c r="O2" s="26">
        <f>QUARTILE(F3:F200,3)</f>
        <v>0.031775</v>
      </c>
      <c r="P2" s="26">
        <f>QUARTILE(F3:F200,2)</f>
        <v>0.0156</v>
      </c>
      <c r="Q2" s="26">
        <f>QUARTILE(F3:F200,1)</f>
        <v>-0.00365</v>
      </c>
      <c r="R2" s="34">
        <f>QUARTILE(F3:F200,0)</f>
        <v>-0.0984</v>
      </c>
      <c r="S2" s="25">
        <f>QUARTILE(H3:H200,4)</f>
        <v>0.4293</v>
      </c>
      <c r="T2" s="26">
        <f>QUARTILE(H3:H200,3)</f>
        <v>0.18895</v>
      </c>
      <c r="U2" s="26">
        <f>QUARTILE(H3:H200,2)</f>
        <v>0.09795</v>
      </c>
      <c r="V2" s="26">
        <f>QUARTILE(H3:H200,1)</f>
        <v>0.024875</v>
      </c>
      <c r="W2" s="34">
        <f>QUARTILE(H3:H200,0)</f>
        <v>-0.0967</v>
      </c>
    </row>
    <row r="3" ht="15.6" customHeight="1" spans="1:13">
      <c r="A3" s="12" t="s">
        <v>831</v>
      </c>
      <c r="B3" s="13" t="s">
        <v>30</v>
      </c>
      <c r="C3" s="14" t="s">
        <v>832</v>
      </c>
      <c r="D3" s="14" t="s">
        <v>833</v>
      </c>
      <c r="E3" s="15" t="s">
        <v>834</v>
      </c>
      <c r="F3" s="16">
        <v>0.1</v>
      </c>
      <c r="G3" s="16">
        <v>-0.0825</v>
      </c>
      <c r="H3" s="16">
        <v>-0.0914</v>
      </c>
      <c r="I3" s="27">
        <v>0.3046</v>
      </c>
      <c r="J3" s="16">
        <v>0.3158</v>
      </c>
      <c r="K3" s="16">
        <v>0.3158</v>
      </c>
      <c r="L3" s="16">
        <v>0.3227</v>
      </c>
      <c r="M3" s="29">
        <v>0.8819</v>
      </c>
    </row>
    <row r="4" ht="15.6" customHeight="1" spans="1:13">
      <c r="A4" s="12" t="s">
        <v>835</v>
      </c>
      <c r="B4" s="13" t="s">
        <v>38</v>
      </c>
      <c r="C4" s="13" t="s">
        <v>836</v>
      </c>
      <c r="D4" s="13" t="s">
        <v>833</v>
      </c>
      <c r="E4" s="16" t="s">
        <v>837</v>
      </c>
      <c r="F4" s="16">
        <v>0.097</v>
      </c>
      <c r="G4" s="16">
        <v>0.0395</v>
      </c>
      <c r="H4" s="16">
        <v>0.1084</v>
      </c>
      <c r="I4" s="27">
        <v>0.425</v>
      </c>
      <c r="J4" s="16">
        <v>0.1414</v>
      </c>
      <c r="K4" s="16">
        <v>0.1926</v>
      </c>
      <c r="L4" s="16">
        <v>0.3409</v>
      </c>
      <c r="M4" s="29">
        <v>1.1882</v>
      </c>
    </row>
    <row r="5" ht="15.6" customHeight="1" spans="1:13">
      <c r="A5" s="12" t="s">
        <v>838</v>
      </c>
      <c r="B5" s="13" t="s">
        <v>54</v>
      </c>
      <c r="C5" s="13" t="s">
        <v>839</v>
      </c>
      <c r="D5" s="13" t="s">
        <v>833</v>
      </c>
      <c r="E5" s="16" t="s">
        <v>840</v>
      </c>
      <c r="F5" s="16">
        <v>0.0607</v>
      </c>
      <c r="G5" s="16">
        <v>0.0511</v>
      </c>
      <c r="H5" s="16">
        <v>0.2618</v>
      </c>
      <c r="I5" s="27">
        <v>0.2733</v>
      </c>
      <c r="J5" s="16">
        <v>0.1045</v>
      </c>
      <c r="K5" s="16">
        <v>0.2947</v>
      </c>
      <c r="L5" s="16">
        <v>0.2742</v>
      </c>
      <c r="M5" s="29">
        <v>0.9239</v>
      </c>
    </row>
    <row r="6" ht="15.6" customHeight="1" spans="1:13">
      <c r="A6" s="12" t="s">
        <v>777</v>
      </c>
      <c r="B6" s="13" t="s">
        <v>54</v>
      </c>
      <c r="C6" s="13" t="s">
        <v>841</v>
      </c>
      <c r="D6" s="13" t="s">
        <v>833</v>
      </c>
      <c r="E6" s="16" t="s">
        <v>842</v>
      </c>
      <c r="F6" s="16">
        <v>0.0584</v>
      </c>
      <c r="G6" s="16">
        <v>-0.0747</v>
      </c>
      <c r="H6" s="16">
        <v>-0.0811</v>
      </c>
      <c r="I6" s="27">
        <v>0.5274</v>
      </c>
      <c r="J6" s="16">
        <v>0.2299</v>
      </c>
      <c r="K6" s="16">
        <v>0.2299</v>
      </c>
      <c r="L6" s="16">
        <v>0.2481</v>
      </c>
      <c r="M6" s="29">
        <v>2.0453</v>
      </c>
    </row>
    <row r="7" ht="15.6" customHeight="1" spans="1:13">
      <c r="A7" s="12" t="s">
        <v>843</v>
      </c>
      <c r="B7" s="13" t="s">
        <v>61</v>
      </c>
      <c r="C7" s="13" t="s">
        <v>844</v>
      </c>
      <c r="D7" s="13" t="s">
        <v>833</v>
      </c>
      <c r="E7" s="16" t="s">
        <v>442</v>
      </c>
      <c r="F7" s="16">
        <v>0.0574</v>
      </c>
      <c r="G7" s="16">
        <v>-0.0146</v>
      </c>
      <c r="H7" s="16">
        <v>0.0487</v>
      </c>
      <c r="I7" s="27">
        <v>0.2346</v>
      </c>
      <c r="J7" s="16">
        <v>0.1176</v>
      </c>
      <c r="K7" s="16">
        <v>0.1176</v>
      </c>
      <c r="L7" s="16">
        <v>0.192</v>
      </c>
      <c r="M7" s="29">
        <v>1.1174</v>
      </c>
    </row>
    <row r="8" ht="15.6" customHeight="1" spans="1:13">
      <c r="A8" s="12" t="s">
        <v>845</v>
      </c>
      <c r="B8" s="13" t="s">
        <v>30</v>
      </c>
      <c r="C8" s="13" t="s">
        <v>846</v>
      </c>
      <c r="D8" s="13" t="s">
        <v>833</v>
      </c>
      <c r="E8" s="16" t="s">
        <v>840</v>
      </c>
      <c r="F8" s="16">
        <v>0.0573</v>
      </c>
      <c r="G8" s="16">
        <v>-0.0538</v>
      </c>
      <c r="H8" s="16"/>
      <c r="I8" s="27">
        <v>0.2531</v>
      </c>
      <c r="J8" s="16"/>
      <c r="K8" s="16">
        <v>0.185</v>
      </c>
      <c r="L8" s="16">
        <v>0.536</v>
      </c>
      <c r="M8" s="29">
        <v>0.4349</v>
      </c>
    </row>
    <row r="9" ht="15.6" customHeight="1" spans="1:13">
      <c r="A9" s="12" t="s">
        <v>538</v>
      </c>
      <c r="B9" s="13" t="s">
        <v>61</v>
      </c>
      <c r="C9" s="13" t="s">
        <v>847</v>
      </c>
      <c r="D9" s="13" t="s">
        <v>833</v>
      </c>
      <c r="E9" s="16" t="s">
        <v>572</v>
      </c>
      <c r="F9" s="16">
        <v>0.0546</v>
      </c>
      <c r="G9" s="16">
        <v>0.0103</v>
      </c>
      <c r="H9" s="16">
        <v>0.1876</v>
      </c>
      <c r="I9" s="27">
        <v>0.6246</v>
      </c>
      <c r="J9" s="16">
        <v>0.1265</v>
      </c>
      <c r="K9" s="16">
        <v>0.1265</v>
      </c>
      <c r="L9" s="16">
        <v>0.2264</v>
      </c>
      <c r="M9" s="29">
        <v>2.67</v>
      </c>
    </row>
    <row r="10" ht="15.6" customHeight="1" spans="1:13">
      <c r="A10" s="12" t="s">
        <v>848</v>
      </c>
      <c r="B10" s="13" t="s">
        <v>30</v>
      </c>
      <c r="C10" s="13" t="s">
        <v>849</v>
      </c>
      <c r="D10" s="13" t="s">
        <v>833</v>
      </c>
      <c r="E10" s="16" t="s">
        <v>850</v>
      </c>
      <c r="F10" s="16">
        <v>0.0542</v>
      </c>
      <c r="G10" s="16">
        <v>-0.0731</v>
      </c>
      <c r="H10" s="16">
        <v>0.0264</v>
      </c>
      <c r="I10" s="27">
        <v>0.6816</v>
      </c>
      <c r="J10" s="16">
        <v>0.2278</v>
      </c>
      <c r="K10" s="16">
        <v>0.2278</v>
      </c>
      <c r="L10" s="16">
        <v>0.281</v>
      </c>
      <c r="M10" s="29">
        <v>2.3541</v>
      </c>
    </row>
    <row r="11" ht="15.6" customHeight="1" spans="1:13">
      <c r="A11" s="12" t="s">
        <v>851</v>
      </c>
      <c r="B11" s="13" t="s">
        <v>61</v>
      </c>
      <c r="C11" s="13" t="s">
        <v>852</v>
      </c>
      <c r="D11" s="13" t="s">
        <v>833</v>
      </c>
      <c r="E11" s="16" t="s">
        <v>853</v>
      </c>
      <c r="F11" s="16">
        <v>0.0523</v>
      </c>
      <c r="G11" s="16">
        <v>-0.0323</v>
      </c>
      <c r="H11" s="16">
        <v>-0.0476</v>
      </c>
      <c r="I11" s="27">
        <v>0.3755</v>
      </c>
      <c r="J11" s="16">
        <v>0.1883</v>
      </c>
      <c r="K11" s="16">
        <v>0.1883</v>
      </c>
      <c r="L11" s="16">
        <v>0.2451</v>
      </c>
      <c r="M11" s="29">
        <v>1.4503</v>
      </c>
    </row>
    <row r="12" ht="15.6" customHeight="1" spans="1:13">
      <c r="A12" s="12" t="s">
        <v>854</v>
      </c>
      <c r="B12" s="13" t="s">
        <v>61</v>
      </c>
      <c r="C12" s="13" t="s">
        <v>855</v>
      </c>
      <c r="D12" s="13" t="s">
        <v>833</v>
      </c>
      <c r="E12" s="16" t="s">
        <v>856</v>
      </c>
      <c r="F12" s="16">
        <v>0.0505</v>
      </c>
      <c r="G12" s="16">
        <v>-0.0753</v>
      </c>
      <c r="H12" s="16">
        <v>0.0541</v>
      </c>
      <c r="I12" s="27">
        <v>0.2314</v>
      </c>
      <c r="J12" s="16">
        <v>0.1986</v>
      </c>
      <c r="K12" s="16">
        <v>0.1986</v>
      </c>
      <c r="L12" s="16">
        <v>0.2527</v>
      </c>
      <c r="M12" s="29">
        <v>0.8363</v>
      </c>
    </row>
    <row r="13" ht="15.6" customHeight="1" spans="1:13">
      <c r="A13" s="12" t="s">
        <v>541</v>
      </c>
      <c r="B13" s="13" t="s">
        <v>217</v>
      </c>
      <c r="C13" s="13" t="s">
        <v>857</v>
      </c>
      <c r="D13" s="13" t="s">
        <v>833</v>
      </c>
      <c r="E13" s="16" t="s">
        <v>858</v>
      </c>
      <c r="F13" s="16">
        <v>0.0472</v>
      </c>
      <c r="G13" s="16">
        <v>-0.0584</v>
      </c>
      <c r="H13" s="16">
        <v>0.0545</v>
      </c>
      <c r="I13" s="27">
        <v>0.1531</v>
      </c>
      <c r="J13" s="16">
        <v>0.1845</v>
      </c>
      <c r="K13" s="16">
        <v>0.1845</v>
      </c>
      <c r="L13" s="16">
        <v>0.2393</v>
      </c>
      <c r="M13" s="29">
        <v>0.5562</v>
      </c>
    </row>
    <row r="14" ht="15.6" customHeight="1" spans="1:13">
      <c r="A14" s="12" t="s">
        <v>859</v>
      </c>
      <c r="B14" s="13" t="s">
        <v>217</v>
      </c>
      <c r="C14" s="13" t="s">
        <v>860</v>
      </c>
      <c r="D14" s="13" t="s">
        <v>833</v>
      </c>
      <c r="E14" s="16" t="s">
        <v>861</v>
      </c>
      <c r="F14" s="16">
        <v>0.0442</v>
      </c>
      <c r="G14" s="16">
        <v>-0.0233</v>
      </c>
      <c r="H14" s="16">
        <v>0.0718</v>
      </c>
      <c r="I14" s="27">
        <v>0.3547</v>
      </c>
      <c r="J14" s="16">
        <v>0.129</v>
      </c>
      <c r="K14" s="16">
        <v>0.129</v>
      </c>
      <c r="L14" s="16">
        <v>0.2019</v>
      </c>
      <c r="M14" s="29">
        <v>1.6575</v>
      </c>
    </row>
    <row r="15" ht="15.6" customHeight="1" spans="1:13">
      <c r="A15" s="12" t="s">
        <v>862</v>
      </c>
      <c r="B15" s="13" t="s">
        <v>61</v>
      </c>
      <c r="C15" s="13" t="s">
        <v>863</v>
      </c>
      <c r="D15" s="13" t="s">
        <v>833</v>
      </c>
      <c r="E15" s="16" t="s">
        <v>679</v>
      </c>
      <c r="F15" s="16">
        <v>0.0399</v>
      </c>
      <c r="G15" s="16">
        <v>-0.0792</v>
      </c>
      <c r="H15" s="16">
        <v>-0.0527</v>
      </c>
      <c r="I15" s="27">
        <v>0.3982</v>
      </c>
      <c r="J15" s="16">
        <v>0.2195</v>
      </c>
      <c r="K15" s="16">
        <v>0.3366</v>
      </c>
      <c r="L15" s="16">
        <v>0.2768</v>
      </c>
      <c r="M15" s="29">
        <v>1.3661</v>
      </c>
    </row>
    <row r="16" ht="15.6" customHeight="1" spans="1:13">
      <c r="A16" s="12" t="s">
        <v>864</v>
      </c>
      <c r="B16" s="13" t="s">
        <v>30</v>
      </c>
      <c r="C16" s="13" t="s">
        <v>865</v>
      </c>
      <c r="D16" s="13" t="s">
        <v>833</v>
      </c>
      <c r="E16" s="16" t="s">
        <v>866</v>
      </c>
      <c r="F16" s="16">
        <v>0.0394</v>
      </c>
      <c r="G16" s="16">
        <v>-0.0264</v>
      </c>
      <c r="H16" s="16">
        <v>-0.0208</v>
      </c>
      <c r="I16" s="27">
        <v>0.3117</v>
      </c>
      <c r="J16" s="16">
        <v>0.1633</v>
      </c>
      <c r="K16" s="16">
        <v>0.1633</v>
      </c>
      <c r="L16" s="16">
        <v>0.2189</v>
      </c>
      <c r="M16" s="29">
        <v>1.3329</v>
      </c>
    </row>
    <row r="17" ht="15.6" customHeight="1" spans="1:13">
      <c r="A17" s="12" t="s">
        <v>574</v>
      </c>
      <c r="B17" s="13" t="s">
        <v>156</v>
      </c>
      <c r="C17" s="13" t="s">
        <v>867</v>
      </c>
      <c r="D17" s="13" t="s">
        <v>833</v>
      </c>
      <c r="E17" s="16" t="s">
        <v>868</v>
      </c>
      <c r="F17" s="16">
        <v>0.0385</v>
      </c>
      <c r="G17" s="16">
        <v>0.0564</v>
      </c>
      <c r="H17" s="16">
        <v>0.177</v>
      </c>
      <c r="I17" s="27">
        <v>0.5376</v>
      </c>
      <c r="J17" s="16">
        <v>0.1118</v>
      </c>
      <c r="K17" s="16">
        <v>0.1118</v>
      </c>
      <c r="L17" s="16">
        <v>0.2215</v>
      </c>
      <c r="M17" s="29">
        <v>2.3365</v>
      </c>
    </row>
    <row r="18" ht="15.6" customHeight="1" spans="1:13">
      <c r="A18" s="12" t="s">
        <v>385</v>
      </c>
      <c r="B18" s="13" t="s">
        <v>156</v>
      </c>
      <c r="C18" s="13" t="s">
        <v>869</v>
      </c>
      <c r="D18" s="13" t="s">
        <v>833</v>
      </c>
      <c r="E18" s="16" t="s">
        <v>870</v>
      </c>
      <c r="F18" s="16">
        <v>0.0357</v>
      </c>
      <c r="G18" s="16">
        <v>-0.0024</v>
      </c>
      <c r="H18" s="16">
        <v>0.0518</v>
      </c>
      <c r="I18" s="27">
        <v>0.2523</v>
      </c>
      <c r="J18" s="16">
        <v>0.1153</v>
      </c>
      <c r="K18" s="16">
        <v>0.2156</v>
      </c>
      <c r="L18" s="16">
        <v>0.2262</v>
      </c>
      <c r="M18" s="29">
        <v>1.0271</v>
      </c>
    </row>
    <row r="19" ht="15.6" customHeight="1" spans="1:13">
      <c r="A19" s="12" t="s">
        <v>871</v>
      </c>
      <c r="B19" s="13" t="s">
        <v>30</v>
      </c>
      <c r="C19" s="13" t="s">
        <v>872</v>
      </c>
      <c r="D19" s="13" t="s">
        <v>833</v>
      </c>
      <c r="E19" s="16" t="s">
        <v>395</v>
      </c>
      <c r="F19" s="16">
        <v>0.0356</v>
      </c>
      <c r="G19" s="16">
        <v>-0.0537</v>
      </c>
      <c r="H19" s="16">
        <v>-0.0814</v>
      </c>
      <c r="I19" s="27">
        <v>0.1814</v>
      </c>
      <c r="J19" s="16">
        <v>0.2048</v>
      </c>
      <c r="K19" s="16">
        <v>0.2048</v>
      </c>
      <c r="L19" s="16">
        <v>0.1782</v>
      </c>
      <c r="M19" s="29">
        <v>0.9057</v>
      </c>
    </row>
    <row r="20" ht="15.6" customHeight="1" spans="1:13">
      <c r="A20" s="12" t="s">
        <v>873</v>
      </c>
      <c r="B20" s="13" t="s">
        <v>30</v>
      </c>
      <c r="C20" s="13" t="s">
        <v>874</v>
      </c>
      <c r="D20" s="13" t="s">
        <v>833</v>
      </c>
      <c r="E20" s="16" t="s">
        <v>615</v>
      </c>
      <c r="F20" s="16">
        <v>0.0346</v>
      </c>
      <c r="G20" s="16">
        <v>-0.0277</v>
      </c>
      <c r="H20" s="16">
        <v>-0.0152</v>
      </c>
      <c r="I20" s="27">
        <v>0.1272</v>
      </c>
      <c r="J20" s="16">
        <v>0.1016</v>
      </c>
      <c r="K20" s="16">
        <v>0.1037</v>
      </c>
      <c r="L20" s="16">
        <v>0.1349</v>
      </c>
      <c r="M20" s="29">
        <v>0.7947</v>
      </c>
    </row>
    <row r="21" ht="15.6" customHeight="1" spans="1:13">
      <c r="A21" s="12" t="s">
        <v>282</v>
      </c>
      <c r="B21" s="13" t="s">
        <v>156</v>
      </c>
      <c r="C21" s="13" t="s">
        <v>875</v>
      </c>
      <c r="D21" s="13" t="s">
        <v>833</v>
      </c>
      <c r="E21" s="16" t="s">
        <v>876</v>
      </c>
      <c r="F21" s="16">
        <v>0.0335</v>
      </c>
      <c r="G21" s="16">
        <v>-0.0084</v>
      </c>
      <c r="H21" s="16">
        <v>0.1385</v>
      </c>
      <c r="I21" s="27">
        <v>0.3927</v>
      </c>
      <c r="J21" s="16">
        <v>0.0899</v>
      </c>
      <c r="K21" s="16">
        <v>0.1022</v>
      </c>
      <c r="L21" s="16">
        <v>0.2203</v>
      </c>
      <c r="M21" s="29">
        <v>1.6917</v>
      </c>
    </row>
    <row r="22" ht="15.6" customHeight="1" spans="1:13">
      <c r="A22" s="12" t="s">
        <v>415</v>
      </c>
      <c r="B22" s="13" t="s">
        <v>38</v>
      </c>
      <c r="C22" s="13" t="s">
        <v>877</v>
      </c>
      <c r="D22" s="13" t="s">
        <v>833</v>
      </c>
      <c r="E22" s="16" t="s">
        <v>878</v>
      </c>
      <c r="F22" s="16">
        <v>0.0327</v>
      </c>
      <c r="G22" s="16">
        <v>0.0188</v>
      </c>
      <c r="H22" s="16">
        <v>0.1605</v>
      </c>
      <c r="I22" s="27">
        <v>0.3482</v>
      </c>
      <c r="J22" s="16">
        <v>0.1095</v>
      </c>
      <c r="K22" s="16">
        <v>0.1095</v>
      </c>
      <c r="L22" s="16">
        <v>0.203</v>
      </c>
      <c r="M22" s="29">
        <v>1.6166</v>
      </c>
    </row>
    <row r="23" ht="15.6" customHeight="1" spans="1:13">
      <c r="A23" s="12" t="s">
        <v>37</v>
      </c>
      <c r="B23" s="13" t="s">
        <v>38</v>
      </c>
      <c r="C23" s="13" t="s">
        <v>879</v>
      </c>
      <c r="D23" s="13" t="s">
        <v>833</v>
      </c>
      <c r="E23" s="16" t="s">
        <v>880</v>
      </c>
      <c r="F23" s="16">
        <v>0.0325</v>
      </c>
      <c r="G23" s="16">
        <v>0.0294</v>
      </c>
      <c r="H23" s="16">
        <v>0.0121</v>
      </c>
      <c r="I23" s="27">
        <v>0.2152</v>
      </c>
      <c r="J23" s="16">
        <v>0.1119</v>
      </c>
      <c r="K23" s="16">
        <v>0.1774</v>
      </c>
      <c r="L23" s="16">
        <v>0.228</v>
      </c>
      <c r="M23" s="29">
        <v>0.8561</v>
      </c>
    </row>
    <row r="24" ht="15.6" customHeight="1" spans="1:13">
      <c r="A24" s="12" t="s">
        <v>881</v>
      </c>
      <c r="B24" s="13" t="s">
        <v>30</v>
      </c>
      <c r="C24" s="13" t="s">
        <v>882</v>
      </c>
      <c r="D24" s="13" t="s">
        <v>833</v>
      </c>
      <c r="E24" s="16" t="s">
        <v>883</v>
      </c>
      <c r="F24" s="16">
        <v>0.0323</v>
      </c>
      <c r="G24" s="16">
        <v>-0.0057</v>
      </c>
      <c r="H24" s="16">
        <v>0.0737</v>
      </c>
      <c r="I24" s="27">
        <v>0.4286</v>
      </c>
      <c r="J24" s="16">
        <v>0.0846</v>
      </c>
      <c r="K24" s="16">
        <v>0.0846</v>
      </c>
      <c r="L24" s="16">
        <v>0.1994</v>
      </c>
      <c r="M24" s="29">
        <v>2.0489</v>
      </c>
    </row>
    <row r="25" ht="15.6" customHeight="1" spans="1:13">
      <c r="A25" s="12" t="s">
        <v>310</v>
      </c>
      <c r="B25" s="13" t="s">
        <v>156</v>
      </c>
      <c r="C25" s="13" t="s">
        <v>884</v>
      </c>
      <c r="D25" s="13" t="s">
        <v>833</v>
      </c>
      <c r="E25" s="16" t="s">
        <v>885</v>
      </c>
      <c r="F25" s="16">
        <v>0.0316</v>
      </c>
      <c r="G25" s="16">
        <v>0.0179</v>
      </c>
      <c r="H25" s="16">
        <v>0.2354</v>
      </c>
      <c r="I25" s="27">
        <v>0.2116</v>
      </c>
      <c r="J25" s="16">
        <v>0.0986</v>
      </c>
      <c r="K25" s="16">
        <v>0.2416</v>
      </c>
      <c r="L25" s="16">
        <v>0.208</v>
      </c>
      <c r="M25" s="29">
        <v>0.9215</v>
      </c>
    </row>
    <row r="26" ht="15.6" customHeight="1" spans="1:13">
      <c r="A26" s="12" t="s">
        <v>380</v>
      </c>
      <c r="B26" s="13" t="s">
        <v>30</v>
      </c>
      <c r="C26" s="13" t="s">
        <v>886</v>
      </c>
      <c r="D26" s="13" t="s">
        <v>833</v>
      </c>
      <c r="E26" s="16" t="s">
        <v>887</v>
      </c>
      <c r="F26" s="16">
        <v>0.0305</v>
      </c>
      <c r="G26" s="16">
        <v>-0.0172</v>
      </c>
      <c r="H26" s="16">
        <v>0.0257</v>
      </c>
      <c r="I26" s="27">
        <v>0.1617</v>
      </c>
      <c r="J26" s="16">
        <v>0.1082</v>
      </c>
      <c r="K26" s="16">
        <v>0.1082</v>
      </c>
      <c r="L26" s="16">
        <v>0.1504</v>
      </c>
      <c r="M26" s="29">
        <v>0.9417</v>
      </c>
    </row>
    <row r="27" ht="15.6" customHeight="1" spans="1:13">
      <c r="A27" s="12" t="s">
        <v>888</v>
      </c>
      <c r="B27" s="13" t="s">
        <v>61</v>
      </c>
      <c r="C27" s="13" t="s">
        <v>889</v>
      </c>
      <c r="D27" s="13" t="s">
        <v>833</v>
      </c>
      <c r="E27" s="16" t="s">
        <v>203</v>
      </c>
      <c r="F27" s="16">
        <v>0.0305</v>
      </c>
      <c r="G27" s="16">
        <v>-0.0073</v>
      </c>
      <c r="H27" s="16">
        <v>0.0366</v>
      </c>
      <c r="I27" s="27">
        <v>0.3284</v>
      </c>
      <c r="J27" s="16">
        <v>0.0887</v>
      </c>
      <c r="K27" s="16">
        <v>0.1035</v>
      </c>
      <c r="L27" s="16">
        <v>0.192</v>
      </c>
      <c r="M27" s="29">
        <v>1.6068</v>
      </c>
    </row>
    <row r="28" ht="15.6" customHeight="1" spans="1:13">
      <c r="A28" s="12" t="s">
        <v>354</v>
      </c>
      <c r="B28" s="13" t="s">
        <v>54</v>
      </c>
      <c r="C28" s="13" t="s">
        <v>890</v>
      </c>
      <c r="D28" s="13" t="s">
        <v>833</v>
      </c>
      <c r="E28" s="16" t="s">
        <v>891</v>
      </c>
      <c r="F28" s="16">
        <v>0.0298</v>
      </c>
      <c r="G28" s="16">
        <v>0.0114</v>
      </c>
      <c r="H28" s="16">
        <v>0.0916</v>
      </c>
      <c r="I28" s="27">
        <v>0.1376</v>
      </c>
      <c r="J28" s="16">
        <v>0.1259</v>
      </c>
      <c r="K28" s="16">
        <v>0.1259</v>
      </c>
      <c r="L28" s="16">
        <v>0.1216</v>
      </c>
      <c r="M28" s="29">
        <v>0.9673</v>
      </c>
    </row>
    <row r="29" ht="15.6" customHeight="1" spans="1:13">
      <c r="A29" s="12" t="s">
        <v>892</v>
      </c>
      <c r="B29" s="13" t="s">
        <v>30</v>
      </c>
      <c r="C29" s="13" t="s">
        <v>893</v>
      </c>
      <c r="D29" s="13" t="s">
        <v>833</v>
      </c>
      <c r="E29" s="16" t="s">
        <v>818</v>
      </c>
      <c r="F29" s="16">
        <v>0.0292</v>
      </c>
      <c r="G29" s="16">
        <v>0.0884</v>
      </c>
      <c r="H29" s="16">
        <v>0.2664</v>
      </c>
      <c r="I29" s="27">
        <v>0.756</v>
      </c>
      <c r="J29" s="16">
        <v>0.0425</v>
      </c>
      <c r="K29" s="16">
        <v>0.1643</v>
      </c>
      <c r="L29" s="16">
        <v>0.26</v>
      </c>
      <c r="M29" s="29">
        <v>2.8311</v>
      </c>
    </row>
    <row r="30" ht="15.6" customHeight="1" spans="1:13">
      <c r="A30" s="12" t="s">
        <v>894</v>
      </c>
      <c r="B30" s="13" t="s">
        <v>61</v>
      </c>
      <c r="C30" s="13" t="s">
        <v>895</v>
      </c>
      <c r="D30" s="13" t="s">
        <v>833</v>
      </c>
      <c r="E30" s="16" t="s">
        <v>485</v>
      </c>
      <c r="F30" s="16">
        <v>0.0282</v>
      </c>
      <c r="G30" s="16">
        <v>-0.0549</v>
      </c>
      <c r="H30" s="16"/>
      <c r="I30" s="27">
        <v>-0.3825</v>
      </c>
      <c r="J30" s="16"/>
      <c r="K30" s="16">
        <v>0.1994</v>
      </c>
      <c r="L30" s="16">
        <v>0.2412</v>
      </c>
      <c r="M30" s="29">
        <v>-1.6687</v>
      </c>
    </row>
    <row r="31" ht="15.6" customHeight="1" spans="1:13">
      <c r="A31" s="12" t="s">
        <v>649</v>
      </c>
      <c r="B31" s="13" t="s">
        <v>217</v>
      </c>
      <c r="C31" s="13" t="s">
        <v>896</v>
      </c>
      <c r="D31" s="13" t="s">
        <v>833</v>
      </c>
      <c r="E31" s="16" t="s">
        <v>897</v>
      </c>
      <c r="F31" s="16">
        <v>0.028</v>
      </c>
      <c r="G31" s="16">
        <v>0.013</v>
      </c>
      <c r="H31" s="16">
        <v>0.1894</v>
      </c>
      <c r="I31" s="27">
        <v>0.6987</v>
      </c>
      <c r="J31" s="16">
        <v>0.1058</v>
      </c>
      <c r="K31" s="16">
        <v>0.1637</v>
      </c>
      <c r="L31" s="16">
        <v>0.2616</v>
      </c>
      <c r="M31" s="29">
        <v>2.5944</v>
      </c>
    </row>
    <row r="32" ht="15.6" customHeight="1" spans="1:13">
      <c r="A32" s="12" t="s">
        <v>873</v>
      </c>
      <c r="B32" s="13" t="s">
        <v>30</v>
      </c>
      <c r="C32" s="13" t="s">
        <v>898</v>
      </c>
      <c r="D32" s="13" t="s">
        <v>833</v>
      </c>
      <c r="E32" s="16" t="s">
        <v>899</v>
      </c>
      <c r="F32" s="16">
        <v>0.0269</v>
      </c>
      <c r="G32" s="16">
        <v>0.0227</v>
      </c>
      <c r="H32" s="16">
        <v>0.1457</v>
      </c>
      <c r="I32" s="27">
        <v>0.543</v>
      </c>
      <c r="J32" s="16">
        <v>0.1414</v>
      </c>
      <c r="K32" s="16">
        <v>0.1414</v>
      </c>
      <c r="L32" s="16">
        <v>0.2369</v>
      </c>
      <c r="M32" s="29">
        <v>2.2079</v>
      </c>
    </row>
    <row r="33" ht="15.6" customHeight="1" spans="1:13">
      <c r="A33" s="12" t="s">
        <v>900</v>
      </c>
      <c r="B33" s="13" t="s">
        <v>156</v>
      </c>
      <c r="C33" s="13" t="s">
        <v>901</v>
      </c>
      <c r="D33" s="13" t="s">
        <v>833</v>
      </c>
      <c r="E33" s="16" t="s">
        <v>902</v>
      </c>
      <c r="F33" s="16">
        <v>0.0259</v>
      </c>
      <c r="G33" s="16">
        <v>-0.027</v>
      </c>
      <c r="H33" s="16">
        <v>-0.0014</v>
      </c>
      <c r="I33" s="27">
        <v>0.3346</v>
      </c>
      <c r="J33" s="16">
        <v>0.1238</v>
      </c>
      <c r="K33" s="16">
        <v>0.157</v>
      </c>
      <c r="L33" s="16">
        <v>0.2433</v>
      </c>
      <c r="M33" s="29">
        <v>1.2932</v>
      </c>
    </row>
    <row r="34" ht="15.6" customHeight="1" spans="1:13">
      <c r="A34" s="12" t="s">
        <v>374</v>
      </c>
      <c r="B34" s="13" t="s">
        <v>217</v>
      </c>
      <c r="C34" s="13" t="s">
        <v>903</v>
      </c>
      <c r="D34" s="13" t="s">
        <v>833</v>
      </c>
      <c r="E34" s="16" t="s">
        <v>904</v>
      </c>
      <c r="F34" s="16">
        <v>0.0253</v>
      </c>
      <c r="G34" s="16">
        <v>-0.0196</v>
      </c>
      <c r="H34" s="16">
        <v>0.0064</v>
      </c>
      <c r="I34" s="27">
        <v>0.205</v>
      </c>
      <c r="J34" s="16">
        <v>0.1097</v>
      </c>
      <c r="K34" s="16">
        <v>0.1645</v>
      </c>
      <c r="L34" s="16">
        <v>0.2041</v>
      </c>
      <c r="M34" s="29">
        <v>0.9064</v>
      </c>
    </row>
    <row r="35" ht="15.6" customHeight="1" spans="1:13">
      <c r="A35" s="12" t="s">
        <v>440</v>
      </c>
      <c r="B35" s="13" t="s">
        <v>156</v>
      </c>
      <c r="C35" s="13" t="s">
        <v>905</v>
      </c>
      <c r="D35" s="13" t="s">
        <v>833</v>
      </c>
      <c r="E35" s="16" t="s">
        <v>906</v>
      </c>
      <c r="F35" s="16">
        <v>0.0245</v>
      </c>
      <c r="G35" s="16">
        <v>-0.0373</v>
      </c>
      <c r="H35" s="16">
        <v>0.0088</v>
      </c>
      <c r="I35" s="27">
        <v>0.4404</v>
      </c>
      <c r="J35" s="16">
        <v>0.1294</v>
      </c>
      <c r="K35" s="16">
        <v>0.1294</v>
      </c>
      <c r="L35" s="16">
        <v>0.2391</v>
      </c>
      <c r="M35" s="29">
        <v>1.7581</v>
      </c>
    </row>
    <row r="36" ht="15.6" customHeight="1" spans="1:13">
      <c r="A36" s="12" t="s">
        <v>907</v>
      </c>
      <c r="B36" s="13" t="s">
        <v>38</v>
      </c>
      <c r="C36" s="13" t="s">
        <v>908</v>
      </c>
      <c r="D36" s="13" t="s">
        <v>833</v>
      </c>
      <c r="E36" s="16" t="s">
        <v>909</v>
      </c>
      <c r="F36" s="16">
        <v>0.0235</v>
      </c>
      <c r="G36" s="16">
        <v>0.0065</v>
      </c>
      <c r="H36" s="16">
        <v>0.2179</v>
      </c>
      <c r="I36" s="27">
        <v>0.5968</v>
      </c>
      <c r="J36" s="16">
        <v>0.0793</v>
      </c>
      <c r="K36" s="16">
        <v>0.0793</v>
      </c>
      <c r="L36" s="16">
        <v>0.1537</v>
      </c>
      <c r="M36" s="29">
        <v>3.7519</v>
      </c>
    </row>
    <row r="37" ht="15.6" customHeight="1" spans="1:13">
      <c r="A37" s="12" t="s">
        <v>910</v>
      </c>
      <c r="B37" s="13" t="s">
        <v>61</v>
      </c>
      <c r="C37" s="13" t="s">
        <v>911</v>
      </c>
      <c r="D37" s="13" t="s">
        <v>833</v>
      </c>
      <c r="E37" s="16" t="s">
        <v>912</v>
      </c>
      <c r="F37" s="16">
        <v>0.0229</v>
      </c>
      <c r="G37" s="16">
        <v>0.1089</v>
      </c>
      <c r="H37" s="16">
        <v>0.3684</v>
      </c>
      <c r="I37" s="27">
        <v>0.9902</v>
      </c>
      <c r="J37" s="16">
        <v>0.0879</v>
      </c>
      <c r="K37" s="16">
        <v>0.2952</v>
      </c>
      <c r="L37" s="16">
        <v>0.7266</v>
      </c>
      <c r="M37" s="29">
        <v>1.3352</v>
      </c>
    </row>
    <row r="38" ht="15.6" customHeight="1" spans="1:13">
      <c r="A38" s="12" t="s">
        <v>913</v>
      </c>
      <c r="B38" s="13" t="s">
        <v>61</v>
      </c>
      <c r="C38" s="13" t="s">
        <v>914</v>
      </c>
      <c r="D38" s="13" t="s">
        <v>833</v>
      </c>
      <c r="E38" s="16" t="s">
        <v>915</v>
      </c>
      <c r="F38" s="16">
        <v>0.0205</v>
      </c>
      <c r="G38" s="16">
        <v>-0.0416</v>
      </c>
      <c r="H38" s="16">
        <v>-0.0323</v>
      </c>
      <c r="I38" s="27">
        <v>0.172</v>
      </c>
      <c r="J38" s="16">
        <v>0.1422</v>
      </c>
      <c r="K38" s="16">
        <v>0.1422</v>
      </c>
      <c r="L38" s="16">
        <v>0.1869</v>
      </c>
      <c r="M38" s="29">
        <v>0.8133</v>
      </c>
    </row>
    <row r="39" ht="15.6" customHeight="1" spans="1:13">
      <c r="A39" s="12" t="s">
        <v>510</v>
      </c>
      <c r="B39" s="13" t="s">
        <v>38</v>
      </c>
      <c r="C39" s="13" t="s">
        <v>916</v>
      </c>
      <c r="D39" s="13" t="s">
        <v>833</v>
      </c>
      <c r="E39" s="16" t="s">
        <v>917</v>
      </c>
      <c r="F39" s="16">
        <v>0.0204</v>
      </c>
      <c r="G39" s="16">
        <v>0.0171</v>
      </c>
      <c r="H39" s="16"/>
      <c r="I39" s="27">
        <v>0.1424</v>
      </c>
      <c r="J39" s="16"/>
      <c r="K39" s="16">
        <v>0.0259</v>
      </c>
      <c r="L39" s="16">
        <v>0.0827</v>
      </c>
      <c r="M39" s="29">
        <v>1.4796</v>
      </c>
    </row>
    <row r="40" ht="15.6" customHeight="1" spans="1:13">
      <c r="A40" s="12" t="s">
        <v>434</v>
      </c>
      <c r="B40" s="13" t="s">
        <v>156</v>
      </c>
      <c r="C40" s="13" t="s">
        <v>918</v>
      </c>
      <c r="D40" s="13" t="s">
        <v>833</v>
      </c>
      <c r="E40" s="16" t="s">
        <v>919</v>
      </c>
      <c r="F40" s="16">
        <v>0.02</v>
      </c>
      <c r="G40" s="16">
        <v>0.0356</v>
      </c>
      <c r="H40" s="16">
        <v>0.1679</v>
      </c>
      <c r="I40" s="27">
        <v>0.2723</v>
      </c>
      <c r="J40" s="16">
        <v>0.1156</v>
      </c>
      <c r="K40" s="16">
        <v>0.1156</v>
      </c>
      <c r="L40" s="16">
        <v>0.2124</v>
      </c>
      <c r="M40" s="29">
        <v>1.188</v>
      </c>
    </row>
    <row r="41" ht="15.6" customHeight="1" spans="1:13">
      <c r="A41" s="12" t="s">
        <v>920</v>
      </c>
      <c r="B41" s="13" t="s">
        <v>38</v>
      </c>
      <c r="C41" s="13" t="s">
        <v>921</v>
      </c>
      <c r="D41" s="13" t="s">
        <v>833</v>
      </c>
      <c r="E41" s="16" t="s">
        <v>922</v>
      </c>
      <c r="F41" s="16">
        <v>0.0189</v>
      </c>
      <c r="G41" s="16">
        <v>-0.0178</v>
      </c>
      <c r="H41" s="16">
        <v>0.1219</v>
      </c>
      <c r="I41" s="27">
        <v>0.4081</v>
      </c>
      <c r="J41" s="16">
        <v>0.0682</v>
      </c>
      <c r="K41" s="16">
        <v>0.0993</v>
      </c>
      <c r="L41" s="16">
        <v>0.1961</v>
      </c>
      <c r="M41" s="29">
        <v>1.9786</v>
      </c>
    </row>
    <row r="42" ht="15.6" customHeight="1" spans="1:13">
      <c r="A42" s="12" t="s">
        <v>449</v>
      </c>
      <c r="B42" s="13" t="s">
        <v>156</v>
      </c>
      <c r="C42" s="13" t="s">
        <v>923</v>
      </c>
      <c r="D42" s="13" t="s">
        <v>833</v>
      </c>
      <c r="E42" s="16" t="s">
        <v>924</v>
      </c>
      <c r="F42" s="16">
        <v>0.0188</v>
      </c>
      <c r="G42" s="16">
        <v>-0.0165</v>
      </c>
      <c r="H42" s="16">
        <v>0.0972</v>
      </c>
      <c r="I42" s="27">
        <v>0.2814</v>
      </c>
      <c r="J42" s="16">
        <v>0.1168</v>
      </c>
      <c r="K42" s="16">
        <v>0.3039</v>
      </c>
      <c r="L42" s="16">
        <v>0.2077</v>
      </c>
      <c r="M42" s="29">
        <v>1.2586</v>
      </c>
    </row>
    <row r="43" ht="15.6" customHeight="1" spans="1:13">
      <c r="A43" s="12" t="s">
        <v>925</v>
      </c>
      <c r="B43" s="13" t="s">
        <v>61</v>
      </c>
      <c r="C43" s="13" t="s">
        <v>926</v>
      </c>
      <c r="D43" s="13" t="s">
        <v>833</v>
      </c>
      <c r="E43" s="16" t="s">
        <v>927</v>
      </c>
      <c r="F43" s="16">
        <v>0.0183</v>
      </c>
      <c r="G43" s="16">
        <v>-0.0138</v>
      </c>
      <c r="H43" s="16">
        <v>-0.0545</v>
      </c>
      <c r="I43" s="27">
        <v>0.1899</v>
      </c>
      <c r="J43" s="16">
        <v>0.1083</v>
      </c>
      <c r="K43" s="16">
        <v>0.1146</v>
      </c>
      <c r="L43" s="16">
        <v>0.1707</v>
      </c>
      <c r="M43" s="29">
        <v>0.995</v>
      </c>
    </row>
    <row r="44" ht="15.6" customHeight="1" spans="1:13">
      <c r="A44" s="12" t="s">
        <v>928</v>
      </c>
      <c r="B44" s="13" t="s">
        <v>38</v>
      </c>
      <c r="C44" s="13" t="s">
        <v>929</v>
      </c>
      <c r="D44" s="13" t="s">
        <v>833</v>
      </c>
      <c r="E44" s="16" t="s">
        <v>930</v>
      </c>
      <c r="F44" s="16">
        <v>0.0179</v>
      </c>
      <c r="G44" s="16">
        <v>0.0606</v>
      </c>
      <c r="H44" s="16">
        <v>0.2267</v>
      </c>
      <c r="I44" s="27">
        <v>0.5804</v>
      </c>
      <c r="J44" s="16">
        <v>0.0462</v>
      </c>
      <c r="K44" s="16">
        <v>0.1043</v>
      </c>
      <c r="L44" s="16">
        <v>0.1929</v>
      </c>
      <c r="M44" s="29">
        <v>2.9052</v>
      </c>
    </row>
    <row r="45" ht="15.6" customHeight="1" spans="1:13">
      <c r="A45" s="12" t="s">
        <v>377</v>
      </c>
      <c r="B45" s="13" t="s">
        <v>156</v>
      </c>
      <c r="C45" s="13" t="s">
        <v>931</v>
      </c>
      <c r="D45" s="13" t="s">
        <v>833</v>
      </c>
      <c r="E45" s="16" t="s">
        <v>932</v>
      </c>
      <c r="F45" s="16">
        <v>0.017</v>
      </c>
      <c r="G45" s="16">
        <v>-0.013</v>
      </c>
      <c r="H45" s="16">
        <v>0.1551</v>
      </c>
      <c r="I45" s="27">
        <v>0.9269</v>
      </c>
      <c r="J45" s="16">
        <v>0.0566</v>
      </c>
      <c r="K45" s="16">
        <v>0.3455</v>
      </c>
      <c r="L45" s="16">
        <v>3.3046</v>
      </c>
      <c r="M45" s="29">
        <v>0.2744</v>
      </c>
    </row>
    <row r="46" ht="15.6" customHeight="1" spans="1:13">
      <c r="A46" s="12" t="s">
        <v>933</v>
      </c>
      <c r="B46" s="13" t="s">
        <v>38</v>
      </c>
      <c r="C46" s="13" t="s">
        <v>934</v>
      </c>
      <c r="D46" s="13" t="s">
        <v>833</v>
      </c>
      <c r="E46" s="16" t="s">
        <v>935</v>
      </c>
      <c r="F46" s="16">
        <v>0.0165</v>
      </c>
      <c r="G46" s="16">
        <v>-0.0426</v>
      </c>
      <c r="H46" s="16">
        <v>0.035</v>
      </c>
      <c r="I46" s="27">
        <v>0.1455</v>
      </c>
      <c r="J46" s="16">
        <v>0.0899</v>
      </c>
      <c r="K46" s="16">
        <v>0.0899</v>
      </c>
      <c r="L46" s="16">
        <v>0.1146</v>
      </c>
      <c r="M46" s="29">
        <v>1.0949</v>
      </c>
    </row>
    <row r="47" ht="15.6" customHeight="1" spans="1:13">
      <c r="A47" s="12" t="s">
        <v>291</v>
      </c>
      <c r="B47" s="13" t="s">
        <v>217</v>
      </c>
      <c r="C47" s="13" t="s">
        <v>936</v>
      </c>
      <c r="D47" s="13" t="s">
        <v>833</v>
      </c>
      <c r="E47" s="16" t="s">
        <v>937</v>
      </c>
      <c r="F47" s="16">
        <v>0.0147</v>
      </c>
      <c r="G47" s="16">
        <v>0.01</v>
      </c>
      <c r="H47" s="16">
        <v>0.0728</v>
      </c>
      <c r="I47" s="27">
        <v>0.2069</v>
      </c>
      <c r="J47" s="16">
        <v>0.1234</v>
      </c>
      <c r="K47" s="16">
        <v>0.4026</v>
      </c>
      <c r="L47" s="16">
        <v>0.2498</v>
      </c>
      <c r="M47" s="29">
        <v>0.7481</v>
      </c>
    </row>
    <row r="48" ht="15.6" customHeight="1" spans="1:13">
      <c r="A48" s="12" t="s">
        <v>362</v>
      </c>
      <c r="B48" s="13" t="s">
        <v>38</v>
      </c>
      <c r="C48" s="13" t="s">
        <v>938</v>
      </c>
      <c r="D48" s="13" t="s">
        <v>833</v>
      </c>
      <c r="E48" s="16" t="s">
        <v>939</v>
      </c>
      <c r="F48" s="16">
        <v>0.0141</v>
      </c>
      <c r="G48" s="16">
        <v>0.06</v>
      </c>
      <c r="H48" s="16">
        <v>0.0617</v>
      </c>
      <c r="I48" s="27">
        <v>0.2113</v>
      </c>
      <c r="J48" s="16">
        <v>0.1697</v>
      </c>
      <c r="K48" s="16">
        <v>0.2959</v>
      </c>
      <c r="L48" s="16">
        <v>0.3578</v>
      </c>
      <c r="M48" s="29">
        <v>0.5347</v>
      </c>
    </row>
    <row r="49" ht="15.6" customHeight="1" spans="1:13">
      <c r="A49" s="12" t="s">
        <v>940</v>
      </c>
      <c r="B49" s="13" t="s">
        <v>30</v>
      </c>
      <c r="C49" s="13" t="s">
        <v>941</v>
      </c>
      <c r="D49" s="13" t="s">
        <v>833</v>
      </c>
      <c r="E49" s="16" t="s">
        <v>942</v>
      </c>
      <c r="F49" s="16">
        <v>0.0128</v>
      </c>
      <c r="G49" s="16">
        <v>0.0224</v>
      </c>
      <c r="H49" s="16">
        <v>0.0459</v>
      </c>
      <c r="I49" s="27">
        <v>0.2828</v>
      </c>
      <c r="J49" s="16">
        <v>0.0935</v>
      </c>
      <c r="K49" s="16">
        <v>0.1138</v>
      </c>
      <c r="L49" s="16">
        <v>0.1381</v>
      </c>
      <c r="M49" s="29">
        <v>1.9034</v>
      </c>
    </row>
    <row r="50" ht="15.6" customHeight="1" spans="1:13">
      <c r="A50" s="12" t="s">
        <v>812</v>
      </c>
      <c r="B50" s="13" t="s">
        <v>156</v>
      </c>
      <c r="C50" s="13" t="s">
        <v>943</v>
      </c>
      <c r="D50" s="13" t="s">
        <v>833</v>
      </c>
      <c r="E50" s="16" t="s">
        <v>944</v>
      </c>
      <c r="F50" s="16">
        <v>0.0123</v>
      </c>
      <c r="G50" s="16">
        <v>-0.0373</v>
      </c>
      <c r="H50" s="16">
        <v>0.0427</v>
      </c>
      <c r="I50" s="27">
        <v>0.4251</v>
      </c>
      <c r="J50" s="16">
        <v>0.1136</v>
      </c>
      <c r="K50" s="16">
        <v>0.1136</v>
      </c>
      <c r="L50" s="16">
        <v>0.1861</v>
      </c>
      <c r="M50" s="29">
        <v>2.1766</v>
      </c>
    </row>
    <row r="51" ht="15.6" customHeight="1" spans="1:13">
      <c r="A51" s="12" t="s">
        <v>945</v>
      </c>
      <c r="B51" s="13" t="s">
        <v>54</v>
      </c>
      <c r="C51" s="13" t="s">
        <v>946</v>
      </c>
      <c r="D51" s="13" t="s">
        <v>833</v>
      </c>
      <c r="E51" s="16" t="s">
        <v>947</v>
      </c>
      <c r="F51" s="16">
        <v>0.0119</v>
      </c>
      <c r="G51" s="16">
        <v>0.0106</v>
      </c>
      <c r="H51" s="16">
        <v>0.1567</v>
      </c>
      <c r="I51" s="27">
        <v>0.1357</v>
      </c>
      <c r="J51" s="16">
        <v>0.1055</v>
      </c>
      <c r="K51" s="16">
        <v>0.1055</v>
      </c>
      <c r="L51" s="16">
        <v>0.2355</v>
      </c>
      <c r="M51" s="29">
        <v>0.4914</v>
      </c>
    </row>
    <row r="52" ht="15.6" customHeight="1" spans="1:13">
      <c r="A52" s="12" t="s">
        <v>443</v>
      </c>
      <c r="B52" s="13" t="s">
        <v>217</v>
      </c>
      <c r="C52" s="13" t="s">
        <v>948</v>
      </c>
      <c r="D52" s="13" t="s">
        <v>833</v>
      </c>
      <c r="E52" s="16" t="s">
        <v>949</v>
      </c>
      <c r="F52" s="16">
        <v>0.0115</v>
      </c>
      <c r="G52" s="16">
        <v>0.0475</v>
      </c>
      <c r="H52" s="16">
        <v>0.1659</v>
      </c>
      <c r="I52" s="27">
        <v>0.2536</v>
      </c>
      <c r="J52" s="16">
        <v>0.1198</v>
      </c>
      <c r="K52" s="16">
        <v>0.1844</v>
      </c>
      <c r="L52" s="16">
        <v>0.2146</v>
      </c>
      <c r="M52" s="29">
        <v>1.0888</v>
      </c>
    </row>
    <row r="53" ht="15.6" customHeight="1" spans="1:13">
      <c r="A53" s="12" t="s">
        <v>697</v>
      </c>
      <c r="B53" s="13" t="s">
        <v>156</v>
      </c>
      <c r="C53" s="13" t="s">
        <v>950</v>
      </c>
      <c r="D53" s="13" t="s">
        <v>833</v>
      </c>
      <c r="E53" s="16" t="s">
        <v>411</v>
      </c>
      <c r="F53" s="16">
        <v>0.0108</v>
      </c>
      <c r="G53" s="16">
        <v>0.0647</v>
      </c>
      <c r="H53" s="16">
        <v>0.1609</v>
      </c>
      <c r="I53" s="27">
        <v>0.2082</v>
      </c>
      <c r="J53" s="16">
        <v>0.0937</v>
      </c>
      <c r="K53" s="16">
        <v>0.3407</v>
      </c>
      <c r="L53" s="16">
        <v>0.2348</v>
      </c>
      <c r="M53" s="29">
        <v>0.8016</v>
      </c>
    </row>
    <row r="54" ht="15.6" customHeight="1" spans="1:13">
      <c r="A54" s="12" t="s">
        <v>951</v>
      </c>
      <c r="B54" s="13" t="s">
        <v>38</v>
      </c>
      <c r="C54" s="13" t="s">
        <v>952</v>
      </c>
      <c r="D54" s="13" t="s">
        <v>833</v>
      </c>
      <c r="E54" s="16" t="s">
        <v>953</v>
      </c>
      <c r="F54" s="16">
        <v>0.0087</v>
      </c>
      <c r="G54" s="16">
        <v>-0.0065</v>
      </c>
      <c r="H54" s="16">
        <v>-0.0175</v>
      </c>
      <c r="I54" s="27">
        <v>0.2388</v>
      </c>
      <c r="J54" s="16">
        <v>0.2017</v>
      </c>
      <c r="K54" s="16">
        <v>0.2614</v>
      </c>
      <c r="L54" s="16">
        <v>0.2697</v>
      </c>
      <c r="M54" s="29">
        <v>0.8113</v>
      </c>
    </row>
    <row r="55" ht="15.6" customHeight="1" spans="1:13">
      <c r="A55" s="12" t="s">
        <v>297</v>
      </c>
      <c r="B55" s="13" t="s">
        <v>156</v>
      </c>
      <c r="C55" s="13" t="s">
        <v>954</v>
      </c>
      <c r="D55" s="13" t="s">
        <v>833</v>
      </c>
      <c r="E55" s="16" t="s">
        <v>955</v>
      </c>
      <c r="F55" s="16">
        <v>0.0084</v>
      </c>
      <c r="G55" s="16">
        <v>0.0202</v>
      </c>
      <c r="H55" s="16">
        <v>0.0779</v>
      </c>
      <c r="I55" s="27">
        <v>0.2735</v>
      </c>
      <c r="J55" s="16">
        <v>0.0702</v>
      </c>
      <c r="K55" s="16">
        <v>0.2126</v>
      </c>
      <c r="L55" s="16">
        <v>0.1943</v>
      </c>
      <c r="M55" s="29">
        <v>1.3044</v>
      </c>
    </row>
    <row r="56" ht="15.6" customHeight="1" spans="1:13">
      <c r="A56" s="12" t="s">
        <v>655</v>
      </c>
      <c r="B56" s="13" t="s">
        <v>156</v>
      </c>
      <c r="C56" s="13" t="s">
        <v>956</v>
      </c>
      <c r="D56" s="13" t="s">
        <v>833</v>
      </c>
      <c r="E56" s="16" t="s">
        <v>957</v>
      </c>
      <c r="F56" s="16">
        <v>0.0079</v>
      </c>
      <c r="G56" s="16">
        <v>0.0341</v>
      </c>
      <c r="H56" s="16">
        <v>0.2026</v>
      </c>
      <c r="I56" s="27">
        <v>0.3781</v>
      </c>
      <c r="J56" s="16">
        <v>0.116</v>
      </c>
      <c r="K56" s="16">
        <v>0.2757</v>
      </c>
      <c r="L56" s="16">
        <v>0.277</v>
      </c>
      <c r="M56" s="29">
        <v>1.293</v>
      </c>
    </row>
    <row r="57" ht="15.6" customHeight="1" spans="1:13">
      <c r="A57" s="12" t="s">
        <v>474</v>
      </c>
      <c r="B57" s="13" t="s">
        <v>156</v>
      </c>
      <c r="C57" s="13" t="s">
        <v>958</v>
      </c>
      <c r="D57" s="13" t="s">
        <v>833</v>
      </c>
      <c r="E57" s="16" t="s">
        <v>959</v>
      </c>
      <c r="F57" s="16">
        <v>0.0071</v>
      </c>
      <c r="G57" s="16">
        <v>0.0322</v>
      </c>
      <c r="H57" s="16">
        <v>0.1873</v>
      </c>
      <c r="I57" s="27">
        <v>0.6912</v>
      </c>
      <c r="J57" s="16">
        <v>0.0981</v>
      </c>
      <c r="K57" s="16">
        <v>0.1099</v>
      </c>
      <c r="L57" s="16">
        <v>0.2392</v>
      </c>
      <c r="M57" s="29">
        <v>2.806</v>
      </c>
    </row>
    <row r="58" ht="15.6" customHeight="1" spans="1:13">
      <c r="A58" s="12" t="s">
        <v>628</v>
      </c>
      <c r="B58" s="13" t="s">
        <v>156</v>
      </c>
      <c r="C58" s="13" t="s">
        <v>960</v>
      </c>
      <c r="D58" s="13" t="s">
        <v>833</v>
      </c>
      <c r="E58" s="16" t="s">
        <v>961</v>
      </c>
      <c r="F58" s="16">
        <v>0.0068</v>
      </c>
      <c r="G58" s="16">
        <v>0.0138</v>
      </c>
      <c r="H58" s="16">
        <v>0.1381</v>
      </c>
      <c r="I58" s="27">
        <v>0.1442</v>
      </c>
      <c r="J58" s="16">
        <v>0.1027</v>
      </c>
      <c r="K58" s="16">
        <v>0.2403</v>
      </c>
      <c r="L58" s="16">
        <v>0.2181</v>
      </c>
      <c r="M58" s="29">
        <v>0.5695</v>
      </c>
    </row>
    <row r="59" ht="15.6" customHeight="1" spans="1:13">
      <c r="A59" s="12" t="s">
        <v>319</v>
      </c>
      <c r="B59" s="13" t="s">
        <v>156</v>
      </c>
      <c r="C59" s="13" t="s">
        <v>962</v>
      </c>
      <c r="D59" s="13" t="s">
        <v>833</v>
      </c>
      <c r="E59" s="16" t="s">
        <v>744</v>
      </c>
      <c r="F59" s="16">
        <v>0.0064</v>
      </c>
      <c r="G59" s="16">
        <v>0.0589</v>
      </c>
      <c r="H59" s="16">
        <v>0.2528</v>
      </c>
      <c r="I59" s="27">
        <v>0.3316</v>
      </c>
      <c r="J59" s="16">
        <v>0.1079</v>
      </c>
      <c r="K59" s="16">
        <v>0.2588</v>
      </c>
      <c r="L59" s="16">
        <v>0.2464</v>
      </c>
      <c r="M59" s="29">
        <v>1.2647</v>
      </c>
    </row>
    <row r="60" ht="15.6" customHeight="1" spans="1:13">
      <c r="A60" s="12" t="s">
        <v>670</v>
      </c>
      <c r="B60" s="13" t="s">
        <v>61</v>
      </c>
      <c r="C60" s="13" t="s">
        <v>963</v>
      </c>
      <c r="D60" s="13" t="s">
        <v>833</v>
      </c>
      <c r="E60" s="16" t="s">
        <v>964</v>
      </c>
      <c r="F60" s="16">
        <v>0.0063</v>
      </c>
      <c r="G60" s="16">
        <v>0.04</v>
      </c>
      <c r="H60" s="16">
        <v>0.19</v>
      </c>
      <c r="I60" s="27">
        <v>0.5582</v>
      </c>
      <c r="J60" s="16">
        <v>0.104</v>
      </c>
      <c r="K60" s="16">
        <v>0.104</v>
      </c>
      <c r="L60" s="16">
        <v>0.2103</v>
      </c>
      <c r="M60" s="29">
        <v>2.5595</v>
      </c>
    </row>
    <row r="61" ht="15.6" customHeight="1" spans="1:13">
      <c r="A61" s="12" t="s">
        <v>965</v>
      </c>
      <c r="B61" s="13" t="s">
        <v>38</v>
      </c>
      <c r="C61" s="13" t="s">
        <v>966</v>
      </c>
      <c r="D61" s="13" t="s">
        <v>833</v>
      </c>
      <c r="E61" s="16" t="s">
        <v>868</v>
      </c>
      <c r="F61" s="16">
        <v>0.0047</v>
      </c>
      <c r="G61" s="16">
        <v>-0.1181</v>
      </c>
      <c r="H61" s="16">
        <v>-0.0967</v>
      </c>
      <c r="I61" s="27">
        <v>-0.1183</v>
      </c>
      <c r="J61" s="16">
        <v>0.2023</v>
      </c>
      <c r="K61" s="16">
        <v>0.3903</v>
      </c>
      <c r="L61" s="16">
        <v>0.2062</v>
      </c>
      <c r="M61" s="29">
        <v>-0.6705</v>
      </c>
    </row>
    <row r="62" ht="15.6" customHeight="1" spans="1:13">
      <c r="A62" s="12" t="s">
        <v>967</v>
      </c>
      <c r="B62" s="13" t="s">
        <v>54</v>
      </c>
      <c r="C62" s="13" t="s">
        <v>968</v>
      </c>
      <c r="D62" s="13" t="s">
        <v>833</v>
      </c>
      <c r="E62" s="16" t="s">
        <v>969</v>
      </c>
      <c r="F62" s="16">
        <v>0.0046</v>
      </c>
      <c r="G62" s="16">
        <v>-0.0085</v>
      </c>
      <c r="H62" s="16">
        <v>0.0988</v>
      </c>
      <c r="I62" s="27">
        <v>0.206</v>
      </c>
      <c r="J62" s="16">
        <v>0.0311</v>
      </c>
      <c r="K62" s="16">
        <v>0.0311</v>
      </c>
      <c r="L62" s="16">
        <v>0.0749</v>
      </c>
      <c r="M62" s="29">
        <v>2.4833</v>
      </c>
    </row>
    <row r="63" ht="15.6" customHeight="1" spans="1:13">
      <c r="A63" s="12" t="s">
        <v>428</v>
      </c>
      <c r="B63" s="13" t="s">
        <v>156</v>
      </c>
      <c r="C63" s="13" t="s">
        <v>970</v>
      </c>
      <c r="D63" s="13" t="s">
        <v>833</v>
      </c>
      <c r="E63" s="16" t="s">
        <v>971</v>
      </c>
      <c r="F63" s="16">
        <v>0.0028</v>
      </c>
      <c r="G63" s="16">
        <v>0.1064</v>
      </c>
      <c r="H63" s="16">
        <v>0.274</v>
      </c>
      <c r="I63" s="27">
        <v>0.4158</v>
      </c>
      <c r="J63" s="16">
        <v>0.1275</v>
      </c>
      <c r="K63" s="16">
        <v>0.1275</v>
      </c>
      <c r="L63" s="16">
        <v>0.205</v>
      </c>
      <c r="M63" s="29">
        <v>1.931</v>
      </c>
    </row>
    <row r="64" ht="15.6" customHeight="1" spans="1:13">
      <c r="A64" s="12" t="s">
        <v>972</v>
      </c>
      <c r="B64" s="13" t="s">
        <v>30</v>
      </c>
      <c r="C64" s="13" t="s">
        <v>973</v>
      </c>
      <c r="D64" s="13" t="s">
        <v>833</v>
      </c>
      <c r="E64" s="16" t="s">
        <v>974</v>
      </c>
      <c r="F64" s="16">
        <v>0.0015</v>
      </c>
      <c r="G64" s="16">
        <v>-0.0012</v>
      </c>
      <c r="H64" s="16">
        <v>-0.0096</v>
      </c>
      <c r="I64" s="27">
        <v>-0.0378</v>
      </c>
      <c r="J64" s="16">
        <v>0.0136</v>
      </c>
      <c r="K64" s="16">
        <v>0.2509</v>
      </c>
      <c r="L64" s="16">
        <v>0.166</v>
      </c>
      <c r="M64" s="29">
        <v>-0.3483</v>
      </c>
    </row>
    <row r="65" ht="15.6" customHeight="1" spans="1:13">
      <c r="A65" s="12" t="s">
        <v>454</v>
      </c>
      <c r="B65" s="13" t="s">
        <v>30</v>
      </c>
      <c r="C65" s="13" t="s">
        <v>975</v>
      </c>
      <c r="D65" s="13" t="s">
        <v>833</v>
      </c>
      <c r="E65" s="16" t="s">
        <v>682</v>
      </c>
      <c r="F65" s="16">
        <v>0.0011</v>
      </c>
      <c r="G65" s="16">
        <v>0.0765</v>
      </c>
      <c r="H65" s="16">
        <v>0.0246</v>
      </c>
      <c r="I65" s="27">
        <v>0.0529</v>
      </c>
      <c r="J65" s="16">
        <v>0.0801</v>
      </c>
      <c r="K65" s="16">
        <v>0.0801</v>
      </c>
      <c r="L65" s="16">
        <v>0.1187</v>
      </c>
      <c r="M65" s="29">
        <v>0.2768</v>
      </c>
    </row>
    <row r="66" ht="15.6" customHeight="1" spans="1:13">
      <c r="A66" s="12" t="s">
        <v>976</v>
      </c>
      <c r="B66" s="13" t="s">
        <v>30</v>
      </c>
      <c r="C66" s="13" t="s">
        <v>977</v>
      </c>
      <c r="D66" s="13" t="s">
        <v>833</v>
      </c>
      <c r="E66" s="16" t="s">
        <v>978</v>
      </c>
      <c r="F66" s="16">
        <v>-0.0001</v>
      </c>
      <c r="G66" s="16">
        <v>0.0005</v>
      </c>
      <c r="H66" s="16">
        <v>0.001</v>
      </c>
      <c r="I66" s="27">
        <v>0.0724</v>
      </c>
      <c r="J66" s="16">
        <v>0.0379</v>
      </c>
      <c r="K66" s="16">
        <v>0.0379</v>
      </c>
      <c r="L66" s="16">
        <v>0.0662</v>
      </c>
      <c r="M66" s="29">
        <v>0.7915</v>
      </c>
    </row>
    <row r="67" ht="15.6" customHeight="1" spans="1:13">
      <c r="A67" s="12" t="s">
        <v>643</v>
      </c>
      <c r="B67" s="13" t="s">
        <v>156</v>
      </c>
      <c r="C67" s="13" t="s">
        <v>979</v>
      </c>
      <c r="D67" s="13" t="s">
        <v>833</v>
      </c>
      <c r="E67" s="16" t="s">
        <v>980</v>
      </c>
      <c r="F67" s="16">
        <v>-0.0017</v>
      </c>
      <c r="G67" s="16">
        <v>0.0811</v>
      </c>
      <c r="H67" s="16">
        <v>0.2543</v>
      </c>
      <c r="I67" s="27">
        <v>0.3749</v>
      </c>
      <c r="J67" s="16">
        <v>0.106</v>
      </c>
      <c r="K67" s="16">
        <v>0.1526</v>
      </c>
      <c r="L67" s="16">
        <v>0.198</v>
      </c>
      <c r="M67" s="29">
        <v>1.7924</v>
      </c>
    </row>
    <row r="68" ht="15.6" customHeight="1" spans="1:13">
      <c r="A68" s="12" t="s">
        <v>981</v>
      </c>
      <c r="B68" s="13" t="s">
        <v>61</v>
      </c>
      <c r="C68" s="13" t="s">
        <v>982</v>
      </c>
      <c r="D68" s="13" t="s">
        <v>833</v>
      </c>
      <c r="E68" s="16" t="s">
        <v>642</v>
      </c>
      <c r="F68" s="16">
        <v>-0.0035</v>
      </c>
      <c r="G68" s="16">
        <v>-0.0132</v>
      </c>
      <c r="H68" s="16">
        <v>0.0647</v>
      </c>
      <c r="I68" s="27">
        <v>0.0726</v>
      </c>
      <c r="J68" s="16">
        <v>0.0315</v>
      </c>
      <c r="K68" s="16">
        <v>0.0768</v>
      </c>
      <c r="L68" s="16">
        <v>0.0673</v>
      </c>
      <c r="M68" s="29">
        <v>0.7815</v>
      </c>
    </row>
    <row r="69" ht="15.6" customHeight="1" spans="1:13">
      <c r="A69" s="12" t="s">
        <v>983</v>
      </c>
      <c r="B69" s="13" t="s">
        <v>54</v>
      </c>
      <c r="C69" s="13" t="s">
        <v>984</v>
      </c>
      <c r="D69" s="13" t="s">
        <v>833</v>
      </c>
      <c r="E69" s="16" t="s">
        <v>985</v>
      </c>
      <c r="F69" s="16">
        <v>-0.0041</v>
      </c>
      <c r="G69" s="16">
        <v>-0.0011</v>
      </c>
      <c r="H69" s="16"/>
      <c r="I69" s="27">
        <v>0.007</v>
      </c>
      <c r="J69" s="16"/>
      <c r="K69" s="16">
        <v>0.0062</v>
      </c>
      <c r="L69" s="16">
        <v>0.0138</v>
      </c>
      <c r="M69" s="29">
        <v>-0.9405</v>
      </c>
    </row>
    <row r="70" ht="15.6" customHeight="1" spans="1:13">
      <c r="A70" s="12" t="s">
        <v>313</v>
      </c>
      <c r="B70" s="13" t="s">
        <v>156</v>
      </c>
      <c r="C70" s="13" t="s">
        <v>986</v>
      </c>
      <c r="D70" s="13" t="s">
        <v>833</v>
      </c>
      <c r="E70" s="16" t="s">
        <v>987</v>
      </c>
      <c r="F70" s="16">
        <v>-0.0044</v>
      </c>
      <c r="G70" s="16">
        <v>0.071</v>
      </c>
      <c r="H70" s="16">
        <v>0.3209</v>
      </c>
      <c r="I70" s="27">
        <v>0.5205</v>
      </c>
      <c r="J70" s="16">
        <v>0.0478</v>
      </c>
      <c r="K70" s="16">
        <v>0.059</v>
      </c>
      <c r="L70" s="16">
        <v>0.1631</v>
      </c>
      <c r="M70" s="29">
        <v>3.0682</v>
      </c>
    </row>
    <row r="71" ht="15.6" customHeight="1" spans="1:13">
      <c r="A71" s="12" t="s">
        <v>480</v>
      </c>
      <c r="B71" s="13" t="s">
        <v>156</v>
      </c>
      <c r="C71" s="13" t="s">
        <v>988</v>
      </c>
      <c r="D71" s="13" t="s">
        <v>833</v>
      </c>
      <c r="E71" s="16" t="s">
        <v>989</v>
      </c>
      <c r="F71" s="16">
        <v>-0.0045</v>
      </c>
      <c r="G71" s="16">
        <v>0.0886</v>
      </c>
      <c r="H71" s="16">
        <v>0.2031</v>
      </c>
      <c r="I71" s="27">
        <v>0.1359</v>
      </c>
      <c r="J71" s="16">
        <v>0.0785</v>
      </c>
      <c r="K71" s="16">
        <v>0.2258</v>
      </c>
      <c r="L71" s="16">
        <v>0.1912</v>
      </c>
      <c r="M71" s="29">
        <v>0.6061</v>
      </c>
    </row>
    <row r="72" ht="15.6" customHeight="1" spans="1:13">
      <c r="A72" s="12" t="s">
        <v>496</v>
      </c>
      <c r="B72" s="13" t="s">
        <v>54</v>
      </c>
      <c r="C72" s="13" t="s">
        <v>990</v>
      </c>
      <c r="D72" s="13" t="s">
        <v>833</v>
      </c>
      <c r="E72" s="16" t="s">
        <v>991</v>
      </c>
      <c r="F72" s="16">
        <v>-0.0049</v>
      </c>
      <c r="G72" s="16">
        <v>0.0114</v>
      </c>
      <c r="H72" s="16">
        <v>0.232</v>
      </c>
      <c r="I72" s="27">
        <v>0.6038</v>
      </c>
      <c r="J72" s="16">
        <v>0.1783</v>
      </c>
      <c r="K72" s="16">
        <v>0.1783</v>
      </c>
      <c r="L72" s="16">
        <v>0.3005</v>
      </c>
      <c r="M72" s="29">
        <v>1.9426</v>
      </c>
    </row>
    <row r="73" ht="15.6" customHeight="1" spans="1:13">
      <c r="A73" s="12" t="s">
        <v>992</v>
      </c>
      <c r="B73" s="13" t="s">
        <v>156</v>
      </c>
      <c r="C73" s="13" t="s">
        <v>993</v>
      </c>
      <c r="D73" s="13" t="s">
        <v>833</v>
      </c>
      <c r="E73" s="16" t="s">
        <v>994</v>
      </c>
      <c r="F73" s="16">
        <v>-0.0062</v>
      </c>
      <c r="G73" s="16">
        <v>-0.0158</v>
      </c>
      <c r="H73" s="16">
        <v>0.005</v>
      </c>
      <c r="I73" s="27">
        <v>0.0012</v>
      </c>
      <c r="J73" s="16">
        <v>0.0526</v>
      </c>
      <c r="K73" s="16">
        <v>0.0526</v>
      </c>
      <c r="L73" s="16">
        <v>0.0489</v>
      </c>
      <c r="M73" s="29">
        <v>-0.3834</v>
      </c>
    </row>
    <row r="74" ht="15.6" customHeight="1" spans="1:13">
      <c r="A74" s="12" t="s">
        <v>680</v>
      </c>
      <c r="B74" s="13" t="s">
        <v>38</v>
      </c>
      <c r="C74" s="13" t="s">
        <v>995</v>
      </c>
      <c r="D74" s="13" t="s">
        <v>833</v>
      </c>
      <c r="E74" s="16" t="s">
        <v>996</v>
      </c>
      <c r="F74" s="16">
        <v>-0.007</v>
      </c>
      <c r="G74" s="16">
        <v>-0.0298</v>
      </c>
      <c r="H74" s="16">
        <v>0.0934</v>
      </c>
      <c r="I74" s="27">
        <v>0.201</v>
      </c>
      <c r="J74" s="16">
        <v>0.0865</v>
      </c>
      <c r="K74" s="16">
        <v>0.0865</v>
      </c>
      <c r="L74" s="16">
        <v>0.1716</v>
      </c>
      <c r="M74" s="29">
        <v>1.0548</v>
      </c>
    </row>
    <row r="75" ht="15.6" customHeight="1" spans="1:13">
      <c r="A75" s="12" t="s">
        <v>486</v>
      </c>
      <c r="B75" s="13" t="s">
        <v>217</v>
      </c>
      <c r="C75" s="13" t="s">
        <v>997</v>
      </c>
      <c r="D75" s="13" t="s">
        <v>833</v>
      </c>
      <c r="E75" s="16" t="s">
        <v>998</v>
      </c>
      <c r="F75" s="16">
        <v>-0.007</v>
      </c>
      <c r="G75" s="16">
        <v>0.0307</v>
      </c>
      <c r="H75" s="16">
        <v>0.2415</v>
      </c>
      <c r="I75" s="27">
        <v>0.5833</v>
      </c>
      <c r="J75" s="16">
        <v>0.0998</v>
      </c>
      <c r="K75" s="16">
        <v>0.0998</v>
      </c>
      <c r="L75" s="16">
        <v>0.2218</v>
      </c>
      <c r="M75" s="29">
        <v>2.5395</v>
      </c>
    </row>
    <row r="76" ht="15.6" customHeight="1" spans="1:13">
      <c r="A76" s="12" t="s">
        <v>337</v>
      </c>
      <c r="B76" s="13" t="s">
        <v>156</v>
      </c>
      <c r="C76" s="13" t="s">
        <v>999</v>
      </c>
      <c r="D76" s="13" t="s">
        <v>833</v>
      </c>
      <c r="E76" s="16" t="s">
        <v>1000</v>
      </c>
      <c r="F76" s="16">
        <v>-0.0076</v>
      </c>
      <c r="G76" s="16">
        <v>-0.0142</v>
      </c>
      <c r="H76" s="16">
        <v>0.0987</v>
      </c>
      <c r="I76" s="27">
        <v>0.3858</v>
      </c>
      <c r="J76" s="16">
        <v>0.1222</v>
      </c>
      <c r="K76" s="16">
        <v>0.1222</v>
      </c>
      <c r="L76" s="16">
        <v>0.1983</v>
      </c>
      <c r="M76" s="29">
        <v>1.8444</v>
      </c>
    </row>
    <row r="77" ht="15.6" customHeight="1" spans="1:13">
      <c r="A77" s="12" t="s">
        <v>707</v>
      </c>
      <c r="B77" s="13" t="s">
        <v>156</v>
      </c>
      <c r="C77" s="13" t="s">
        <v>1001</v>
      </c>
      <c r="D77" s="13" t="s">
        <v>833</v>
      </c>
      <c r="E77" s="16" t="s">
        <v>1002</v>
      </c>
      <c r="F77" s="16">
        <v>-0.0113</v>
      </c>
      <c r="G77" s="16">
        <v>0.0102</v>
      </c>
      <c r="H77" s="16">
        <v>0.1125</v>
      </c>
      <c r="I77" s="27">
        <v>0.5332</v>
      </c>
      <c r="J77" s="16">
        <v>0.1208</v>
      </c>
      <c r="K77" s="16">
        <v>0.1347</v>
      </c>
      <c r="L77" s="16">
        <v>0.28</v>
      </c>
      <c r="M77" s="29">
        <v>1.8329</v>
      </c>
    </row>
    <row r="78" ht="15.6" customHeight="1" spans="1:13">
      <c r="A78" s="12" t="s">
        <v>1003</v>
      </c>
      <c r="B78" s="13" t="s">
        <v>38</v>
      </c>
      <c r="C78" s="13" t="s">
        <v>1004</v>
      </c>
      <c r="D78" s="13" t="s">
        <v>833</v>
      </c>
      <c r="E78" s="16" t="s">
        <v>1005</v>
      </c>
      <c r="F78" s="16">
        <v>-0.0117</v>
      </c>
      <c r="G78" s="16">
        <v>-0.0539</v>
      </c>
      <c r="H78" s="16">
        <v>0.0334</v>
      </c>
      <c r="I78" s="27">
        <v>0.1497</v>
      </c>
      <c r="J78" s="16">
        <v>0.0876</v>
      </c>
      <c r="K78" s="16">
        <v>0.137</v>
      </c>
      <c r="L78" s="16">
        <v>0.188</v>
      </c>
      <c r="M78" s="29">
        <v>0.6898</v>
      </c>
    </row>
    <row r="79" ht="15.6" customHeight="1" spans="1:13">
      <c r="A79" s="12" t="s">
        <v>501</v>
      </c>
      <c r="B79" s="13" t="s">
        <v>61</v>
      </c>
      <c r="C79" s="13" t="s">
        <v>1006</v>
      </c>
      <c r="D79" s="13" t="s">
        <v>833</v>
      </c>
      <c r="E79" s="16" t="s">
        <v>1007</v>
      </c>
      <c r="F79" s="16">
        <v>-0.0191</v>
      </c>
      <c r="G79" s="16">
        <v>0.0469</v>
      </c>
      <c r="H79" s="16">
        <v>0.2634</v>
      </c>
      <c r="I79" s="27">
        <v>0.4535</v>
      </c>
      <c r="J79" s="16">
        <v>0.099</v>
      </c>
      <c r="K79" s="16">
        <v>0.099</v>
      </c>
      <c r="L79" s="16">
        <v>0.2071</v>
      </c>
      <c r="M79" s="29">
        <v>2.0937</v>
      </c>
    </row>
    <row r="80" ht="15.6" customHeight="1" spans="1:13">
      <c r="A80" s="12" t="s">
        <v>328</v>
      </c>
      <c r="B80" s="13" t="s">
        <v>217</v>
      </c>
      <c r="C80" s="13" t="s">
        <v>1008</v>
      </c>
      <c r="D80" s="13" t="s">
        <v>833</v>
      </c>
      <c r="E80" s="16" t="s">
        <v>1009</v>
      </c>
      <c r="F80" s="16">
        <v>-0.0199</v>
      </c>
      <c r="G80" s="16">
        <v>0.0434</v>
      </c>
      <c r="H80" s="16">
        <v>0.2632</v>
      </c>
      <c r="I80" s="27">
        <v>0.2002</v>
      </c>
      <c r="J80" s="16">
        <v>0.1795</v>
      </c>
      <c r="K80" s="16">
        <v>0.2726</v>
      </c>
      <c r="L80" s="16">
        <v>0.2347</v>
      </c>
      <c r="M80" s="29">
        <v>0.768</v>
      </c>
    </row>
    <row r="81" ht="15.6" customHeight="1" spans="1:13">
      <c r="A81" s="12" t="s">
        <v>504</v>
      </c>
      <c r="B81" s="13" t="s">
        <v>156</v>
      </c>
      <c r="C81" s="13" t="s">
        <v>1010</v>
      </c>
      <c r="D81" s="13" t="s">
        <v>833</v>
      </c>
      <c r="E81" s="16" t="s">
        <v>1011</v>
      </c>
      <c r="F81" s="16">
        <v>-0.0209</v>
      </c>
      <c r="G81" s="16">
        <v>0.0341</v>
      </c>
      <c r="H81" s="16">
        <v>0.2406</v>
      </c>
      <c r="I81" s="27">
        <v>0.7195</v>
      </c>
      <c r="J81" s="16">
        <v>0.1049</v>
      </c>
      <c r="K81" s="16">
        <v>0.1049</v>
      </c>
      <c r="L81" s="16">
        <v>0.2259</v>
      </c>
      <c r="M81" s="29">
        <v>3.0967</v>
      </c>
    </row>
    <row r="82" ht="15.6" customHeight="1" spans="1:13">
      <c r="A82" s="12" t="s">
        <v>522</v>
      </c>
      <c r="B82" s="13" t="s">
        <v>54</v>
      </c>
      <c r="C82" s="13" t="s">
        <v>1012</v>
      </c>
      <c r="D82" s="13" t="s">
        <v>833</v>
      </c>
      <c r="E82" s="16" t="s">
        <v>1013</v>
      </c>
      <c r="F82" s="16">
        <v>-0.0234</v>
      </c>
      <c r="G82" s="16">
        <v>0.0575</v>
      </c>
      <c r="H82" s="16">
        <v>0.2553</v>
      </c>
      <c r="I82" s="27">
        <v>0.3471</v>
      </c>
      <c r="J82" s="16">
        <v>0.1258</v>
      </c>
      <c r="K82" s="16">
        <v>0.3987</v>
      </c>
      <c r="L82" s="16">
        <v>0.3197</v>
      </c>
      <c r="M82" s="29">
        <v>1.0233</v>
      </c>
    </row>
    <row r="83" ht="15.6" customHeight="1" spans="1:13">
      <c r="A83" s="12" t="s">
        <v>525</v>
      </c>
      <c r="B83" s="13" t="s">
        <v>38</v>
      </c>
      <c r="C83" s="13" t="s">
        <v>1014</v>
      </c>
      <c r="D83" s="13" t="s">
        <v>833</v>
      </c>
      <c r="E83" s="16" t="s">
        <v>1015</v>
      </c>
      <c r="F83" s="16">
        <v>-0.0253</v>
      </c>
      <c r="G83" s="16">
        <v>0.0504</v>
      </c>
      <c r="H83" s="16">
        <v>0.1105</v>
      </c>
      <c r="I83" s="27">
        <v>0.2919</v>
      </c>
      <c r="J83" s="16">
        <v>0.1973</v>
      </c>
      <c r="K83" s="16">
        <v>0.1973</v>
      </c>
      <c r="L83" s="16">
        <v>0.2173</v>
      </c>
      <c r="M83" s="29">
        <v>1.2511</v>
      </c>
    </row>
    <row r="84" ht="15.6" customHeight="1" spans="1:13">
      <c r="A84" s="12" t="s">
        <v>694</v>
      </c>
      <c r="B84" s="13" t="s">
        <v>217</v>
      </c>
      <c r="C84" s="13" t="s">
        <v>1016</v>
      </c>
      <c r="D84" s="13" t="s">
        <v>833</v>
      </c>
      <c r="E84" s="16" t="s">
        <v>1017</v>
      </c>
      <c r="F84" s="16">
        <v>-0.028</v>
      </c>
      <c r="G84" s="16">
        <v>0.0171</v>
      </c>
      <c r="H84" s="16">
        <v>0.1477</v>
      </c>
      <c r="I84" s="27">
        <v>0.2921</v>
      </c>
      <c r="J84" s="16">
        <v>0.117</v>
      </c>
      <c r="K84" s="16">
        <v>0.117</v>
      </c>
      <c r="L84" s="16">
        <v>0.2632</v>
      </c>
      <c r="M84" s="29">
        <v>1.0339</v>
      </c>
    </row>
    <row r="85" ht="15.6" customHeight="1" spans="1:13">
      <c r="A85" s="12" t="s">
        <v>1018</v>
      </c>
      <c r="B85" s="13" t="s">
        <v>30</v>
      </c>
      <c r="C85" s="13" t="s">
        <v>1019</v>
      </c>
      <c r="D85" s="13" t="s">
        <v>833</v>
      </c>
      <c r="E85" s="16" t="s">
        <v>996</v>
      </c>
      <c r="F85" s="16">
        <v>-0.0317</v>
      </c>
      <c r="G85" s="16">
        <v>-0.1299</v>
      </c>
      <c r="H85" s="16">
        <v>-0.0817</v>
      </c>
      <c r="I85" s="27">
        <v>-0.0895</v>
      </c>
      <c r="J85" s="16">
        <v>0.2228</v>
      </c>
      <c r="K85" s="16">
        <v>0.2228</v>
      </c>
      <c r="L85" s="16">
        <v>0.2518</v>
      </c>
      <c r="M85" s="29">
        <v>-0.4347</v>
      </c>
    </row>
    <row r="86" ht="15.6" customHeight="1" spans="1:13">
      <c r="A86" s="12" t="s">
        <v>491</v>
      </c>
      <c r="B86" s="13" t="s">
        <v>54</v>
      </c>
      <c r="C86" s="13" t="s">
        <v>1020</v>
      </c>
      <c r="D86" s="13" t="s">
        <v>833</v>
      </c>
      <c r="E86" s="16" t="s">
        <v>461</v>
      </c>
      <c r="F86" s="16">
        <v>-0.0328</v>
      </c>
      <c r="G86" s="16">
        <v>0.0368</v>
      </c>
      <c r="H86" s="16"/>
      <c r="I86" s="27">
        <v>0.2226</v>
      </c>
      <c r="J86" s="16"/>
      <c r="K86" s="16">
        <v>0.0969</v>
      </c>
      <c r="L86" s="16">
        <v>0.3147</v>
      </c>
      <c r="M86" s="29">
        <v>0.644</v>
      </c>
    </row>
    <row r="87" ht="15.6" customHeight="1" spans="1:13">
      <c r="A87" s="12" t="s">
        <v>1021</v>
      </c>
      <c r="B87" s="13" t="s">
        <v>38</v>
      </c>
      <c r="C87" s="13" t="s">
        <v>1022</v>
      </c>
      <c r="D87" s="13" t="s">
        <v>833</v>
      </c>
      <c r="E87" s="16" t="s">
        <v>1023</v>
      </c>
      <c r="F87" s="16">
        <v>-0.0383</v>
      </c>
      <c r="G87" s="16">
        <v>-0.0061</v>
      </c>
      <c r="H87" s="16">
        <v>-0.0278</v>
      </c>
      <c r="I87" s="27">
        <v>0.317</v>
      </c>
      <c r="J87" s="16">
        <v>0.1863</v>
      </c>
      <c r="K87" s="16">
        <v>0.1863</v>
      </c>
      <c r="L87" s="16">
        <v>0.2323</v>
      </c>
      <c r="M87" s="29">
        <v>1.2786</v>
      </c>
    </row>
    <row r="88" ht="15.6" customHeight="1" spans="1:13">
      <c r="A88" s="12" t="s">
        <v>1024</v>
      </c>
      <c r="B88" s="13" t="s">
        <v>30</v>
      </c>
      <c r="C88" s="13" t="s">
        <v>1025</v>
      </c>
      <c r="D88" s="13" t="s">
        <v>833</v>
      </c>
      <c r="E88" s="16" t="s">
        <v>1026</v>
      </c>
      <c r="F88" s="16">
        <v>-0.0461</v>
      </c>
      <c r="G88" s="16">
        <v>0.0026</v>
      </c>
      <c r="H88" s="16"/>
      <c r="I88" s="27">
        <v>0.5452</v>
      </c>
      <c r="J88" s="16"/>
      <c r="K88" s="16">
        <v>0.0678</v>
      </c>
      <c r="L88" s="16">
        <v>0.2522</v>
      </c>
      <c r="M88" s="29">
        <v>2.0829</v>
      </c>
    </row>
    <row r="89" ht="15.6" customHeight="1" spans="1:13">
      <c r="A89" s="12" t="s">
        <v>340</v>
      </c>
      <c r="B89" s="13" t="s">
        <v>54</v>
      </c>
      <c r="C89" s="13" t="s">
        <v>1027</v>
      </c>
      <c r="D89" s="13" t="s">
        <v>833</v>
      </c>
      <c r="E89" s="16" t="s">
        <v>1028</v>
      </c>
      <c r="F89" s="16">
        <v>-0.0616</v>
      </c>
      <c r="G89" s="16">
        <v>0.009</v>
      </c>
      <c r="H89" s="16">
        <v>0.1346</v>
      </c>
      <c r="I89" s="27">
        <v>0.4621</v>
      </c>
      <c r="J89" s="16">
        <v>0.0627</v>
      </c>
      <c r="K89" s="16">
        <v>0.0685</v>
      </c>
      <c r="L89" s="16">
        <v>0.2199</v>
      </c>
      <c r="M89" s="29">
        <v>2.0106</v>
      </c>
    </row>
    <row r="90" ht="15.6" customHeight="1" spans="1:13">
      <c r="A90" s="12" t="s">
        <v>1029</v>
      </c>
      <c r="B90" s="13" t="s">
        <v>30</v>
      </c>
      <c r="C90" s="13" t="s">
        <v>1030</v>
      </c>
      <c r="D90" s="13" t="s">
        <v>833</v>
      </c>
      <c r="E90" s="16" t="s">
        <v>1031</v>
      </c>
      <c r="F90" s="16">
        <v>-0.0984</v>
      </c>
      <c r="G90" s="16">
        <v>0.1991</v>
      </c>
      <c r="H90" s="16">
        <v>0.4293</v>
      </c>
      <c r="I90" s="27">
        <v>0.2487</v>
      </c>
      <c r="J90" s="16">
        <v>0.2064</v>
      </c>
      <c r="K90" s="16">
        <v>0.2677</v>
      </c>
      <c r="L90" s="16">
        <v>0.4262</v>
      </c>
      <c r="M90" s="29">
        <v>0.5367</v>
      </c>
    </row>
    <row r="91" ht="15.6" customHeight="1" spans="1:13">
      <c r="A91" s="12"/>
      <c r="B91" s="13"/>
      <c r="C91" s="13"/>
      <c r="D91" s="13"/>
      <c r="E91" s="16"/>
      <c r="F91" s="16"/>
      <c r="G91" s="16"/>
      <c r="H91" s="16"/>
      <c r="I91" s="29"/>
      <c r="J91" s="16"/>
      <c r="K91" s="16"/>
      <c r="L91" s="16"/>
      <c r="M91" s="29"/>
    </row>
    <row r="92" ht="15.6" customHeight="1" spans="1:13">
      <c r="A92" s="12"/>
      <c r="B92" s="13"/>
      <c r="C92" s="13"/>
      <c r="D92" s="13"/>
      <c r="E92" s="16"/>
      <c r="F92" s="16"/>
      <c r="G92" s="16"/>
      <c r="H92" s="16"/>
      <c r="I92" s="29"/>
      <c r="J92" s="16"/>
      <c r="K92" s="16"/>
      <c r="L92" s="16"/>
      <c r="M92" s="29"/>
    </row>
    <row r="93" ht="15.6" customHeight="1" spans="1:13">
      <c r="A93" s="12"/>
      <c r="B93" s="13"/>
      <c r="C93" s="13"/>
      <c r="D93" s="13"/>
      <c r="E93" s="16"/>
      <c r="F93" s="16"/>
      <c r="G93" s="16"/>
      <c r="H93" s="16"/>
      <c r="I93" s="29"/>
      <c r="J93" s="16"/>
      <c r="K93" s="16"/>
      <c r="L93" s="16"/>
      <c r="M93" s="29"/>
    </row>
    <row r="94" ht="15.6" customHeight="1" spans="1:13">
      <c r="A94" s="12"/>
      <c r="B94" s="13"/>
      <c r="C94" s="13"/>
      <c r="D94" s="13"/>
      <c r="E94" s="16"/>
      <c r="F94" s="16"/>
      <c r="G94" s="16"/>
      <c r="H94" s="16"/>
      <c r="I94" s="29"/>
      <c r="J94" s="16"/>
      <c r="K94" s="16"/>
      <c r="L94" s="16"/>
      <c r="M94" s="29"/>
    </row>
    <row r="95" ht="15.6" customHeight="1" spans="1:13">
      <c r="A95" s="12"/>
      <c r="B95" s="13"/>
      <c r="C95" s="13"/>
      <c r="D95" s="13"/>
      <c r="E95" s="16"/>
      <c r="F95" s="16"/>
      <c r="G95" s="16"/>
      <c r="H95" s="16"/>
      <c r="I95" s="29"/>
      <c r="J95" s="16"/>
      <c r="K95" s="16"/>
      <c r="L95" s="16"/>
      <c r="M95" s="29"/>
    </row>
    <row r="96" ht="15.6" customHeight="1" spans="1:13">
      <c r="A96" s="12"/>
      <c r="B96" s="13"/>
      <c r="C96" s="13"/>
      <c r="D96" s="13"/>
      <c r="E96" s="16"/>
      <c r="F96" s="16"/>
      <c r="G96" s="16"/>
      <c r="H96" s="16"/>
      <c r="I96" s="29"/>
      <c r="J96" s="16"/>
      <c r="K96" s="16"/>
      <c r="L96" s="16"/>
      <c r="M96" s="29"/>
    </row>
    <row r="97" ht="15.6" customHeight="1" spans="1:13">
      <c r="A97" s="12"/>
      <c r="B97" s="13"/>
      <c r="C97" s="13"/>
      <c r="D97" s="13"/>
      <c r="E97" s="16"/>
      <c r="F97" s="16"/>
      <c r="G97" s="16"/>
      <c r="H97" s="16"/>
      <c r="I97" s="29"/>
      <c r="J97" s="16"/>
      <c r="K97" s="16"/>
      <c r="L97" s="16"/>
      <c r="M97" s="29"/>
    </row>
    <row r="98" ht="15.6" customHeight="1" spans="1:13">
      <c r="A98" s="12"/>
      <c r="B98" s="13"/>
      <c r="C98" s="13"/>
      <c r="D98" s="13"/>
      <c r="E98" s="16"/>
      <c r="F98" s="16"/>
      <c r="G98" s="16"/>
      <c r="H98" s="16"/>
      <c r="I98" s="29"/>
      <c r="J98" s="16"/>
      <c r="K98" s="16"/>
      <c r="L98" s="16"/>
      <c r="M98" s="29"/>
    </row>
    <row r="99" ht="15.6" customHeight="1" spans="1:13">
      <c r="A99" s="12"/>
      <c r="B99" s="13"/>
      <c r="C99" s="13"/>
      <c r="D99" s="13"/>
      <c r="E99" s="16"/>
      <c r="F99" s="16"/>
      <c r="G99" s="16"/>
      <c r="H99" s="16"/>
      <c r="I99" s="29"/>
      <c r="J99" s="16"/>
      <c r="K99" s="16"/>
      <c r="L99" s="16"/>
      <c r="M99" s="29"/>
    </row>
    <row r="100" ht="15.6" customHeight="1" spans="1:13">
      <c r="A100" s="12"/>
      <c r="B100" s="13"/>
      <c r="C100" s="13"/>
      <c r="D100" s="13"/>
      <c r="E100" s="16"/>
      <c r="F100" s="16"/>
      <c r="G100" s="16"/>
      <c r="H100" s="16"/>
      <c r="I100" s="29"/>
      <c r="J100" s="16"/>
      <c r="K100" s="16"/>
      <c r="L100" s="16"/>
      <c r="M100" s="29"/>
    </row>
  </sheetData>
  <mergeCells count="4">
    <mergeCell ref="A1:B1"/>
    <mergeCell ref="C1:E1"/>
    <mergeCell ref="F1:I1"/>
    <mergeCell ref="J1:K1"/>
  </mergeCells>
  <conditionalFormatting sqref="A3:E100 J3:M100">
    <cfRule type="expression" dxfId="0" priority="2">
      <formula>MOD(ROW(),2)=0</formula>
    </cfRule>
  </conditionalFormatting>
  <conditionalFormatting sqref="F3:I100">
    <cfRule type="expression" dxfId="0" priority="1">
      <formula>MOD(ROW(),2)=0</formula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W100"/>
  <sheetViews>
    <sheetView workbookViewId="0">
      <pane ySplit="2" topLeftCell="A3" activePane="bottomLeft" state="frozen"/>
      <selection/>
      <selection pane="bottomLeft" activeCell="N1" sqref="N1:W4"/>
    </sheetView>
  </sheetViews>
  <sheetFormatPr defaultColWidth="9" defaultRowHeight="14.4"/>
  <cols>
    <col min="1" max="1" width="15.1111111111111" customWidth="1"/>
    <col min="2" max="2" width="13.6666666666667" customWidth="1"/>
    <col min="3" max="3" width="25.3333333333333" customWidth="1"/>
    <col min="12" max="12" width="9.44444444444444" customWidth="1"/>
  </cols>
  <sheetData>
    <row r="1" ht="31.2" customHeight="1" spans="1:23">
      <c r="A1" s="1" t="s">
        <v>0</v>
      </c>
      <c r="B1" s="2"/>
      <c r="C1" s="3" t="s">
        <v>1</v>
      </c>
      <c r="D1" s="4"/>
      <c r="E1" s="5"/>
      <c r="F1" s="6" t="s">
        <v>2</v>
      </c>
      <c r="G1" s="7"/>
      <c r="H1" s="7"/>
      <c r="I1" s="2"/>
      <c r="J1" s="17" t="s">
        <v>3</v>
      </c>
      <c r="K1" s="2"/>
      <c r="L1" s="18" t="s">
        <v>4</v>
      </c>
      <c r="M1" s="19" t="s">
        <v>5</v>
      </c>
      <c r="N1" s="20" t="s">
        <v>6</v>
      </c>
      <c r="O1" s="21" t="s">
        <v>7</v>
      </c>
      <c r="P1" s="21" t="s">
        <v>8</v>
      </c>
      <c r="Q1" s="21" t="s">
        <v>9</v>
      </c>
      <c r="R1" s="30" t="s">
        <v>10</v>
      </c>
      <c r="S1" s="31" t="s">
        <v>11</v>
      </c>
      <c r="T1" s="32" t="s">
        <v>12</v>
      </c>
      <c r="U1" s="32" t="s">
        <v>13</v>
      </c>
      <c r="V1" s="32" t="s">
        <v>14</v>
      </c>
      <c r="W1" s="33" t="s">
        <v>15</v>
      </c>
    </row>
    <row r="2" ht="47.55" customHeight="1" spans="1:23">
      <c r="A2" s="8" t="s">
        <v>16</v>
      </c>
      <c r="B2" s="9" t="s">
        <v>17</v>
      </c>
      <c r="C2" s="10" t="s">
        <v>18</v>
      </c>
      <c r="D2" s="10" t="s">
        <v>19</v>
      </c>
      <c r="E2" s="10" t="s">
        <v>20</v>
      </c>
      <c r="F2" s="11" t="s">
        <v>21</v>
      </c>
      <c r="G2" s="11" t="s">
        <v>22</v>
      </c>
      <c r="H2" s="11" t="s">
        <v>23</v>
      </c>
      <c r="I2" s="11" t="s">
        <v>24</v>
      </c>
      <c r="J2" s="22" t="s">
        <v>25</v>
      </c>
      <c r="K2" s="22" t="s">
        <v>26</v>
      </c>
      <c r="L2" s="23" t="s">
        <v>27</v>
      </c>
      <c r="M2" s="24" t="s">
        <v>28</v>
      </c>
      <c r="N2" s="25">
        <f>QUARTILE(F3:F200,4)</f>
        <v>0.0334</v>
      </c>
      <c r="O2" s="26">
        <f>QUARTILE(F3:F200,3)</f>
        <v>0.0171</v>
      </c>
      <c r="P2" s="26">
        <f>QUARTILE(F3:F200,2)</f>
        <v>0.0018</v>
      </c>
      <c r="Q2" s="26">
        <f>QUARTILE(F3:F200,1)</f>
        <v>-0.0022</v>
      </c>
      <c r="R2" s="34">
        <f>QUARTILE(F3:F200,0)</f>
        <v>-0.0858</v>
      </c>
      <c r="S2" s="25">
        <f>QUARTILE(H3:H200,4)</f>
        <v>0.2077</v>
      </c>
      <c r="T2" s="26">
        <f>QUARTILE(H3:H200,3)</f>
        <v>0.0521</v>
      </c>
      <c r="U2" s="26">
        <f>QUARTILE(H3:H200,2)</f>
        <v>0.0288</v>
      </c>
      <c r="V2" s="26">
        <f>QUARTILE(H3:H200,1)</f>
        <v>0.01145</v>
      </c>
      <c r="W2" s="34">
        <f>QUARTILE(H3:H200,0)</f>
        <v>-0.0627</v>
      </c>
    </row>
    <row r="3" ht="15.6" customHeight="1" spans="1:13">
      <c r="A3" s="12" t="s">
        <v>1032</v>
      </c>
      <c r="B3" s="13" t="s">
        <v>30</v>
      </c>
      <c r="C3" s="14" t="s">
        <v>1033</v>
      </c>
      <c r="D3" s="14" t="s">
        <v>1034</v>
      </c>
      <c r="E3" s="15" t="s">
        <v>1035</v>
      </c>
      <c r="F3" s="16">
        <v>0.0334</v>
      </c>
      <c r="G3" s="16">
        <v>-0.0193</v>
      </c>
      <c r="H3" s="16">
        <v>-0.0308</v>
      </c>
      <c r="I3" s="27">
        <v>0.1676</v>
      </c>
      <c r="J3" s="16">
        <v>0.0833</v>
      </c>
      <c r="K3" s="16">
        <v>0.1179</v>
      </c>
      <c r="L3" s="16">
        <v>0.1678</v>
      </c>
      <c r="M3" s="29">
        <v>0.8798</v>
      </c>
    </row>
    <row r="4" ht="15.6" customHeight="1" spans="1:13">
      <c r="A4" s="12" t="s">
        <v>1036</v>
      </c>
      <c r="B4" s="13" t="s">
        <v>61</v>
      </c>
      <c r="C4" s="13" t="s">
        <v>1037</v>
      </c>
      <c r="D4" s="13" t="s">
        <v>1038</v>
      </c>
      <c r="E4" s="16" t="s">
        <v>1039</v>
      </c>
      <c r="F4" s="16">
        <v>0.0236</v>
      </c>
      <c r="G4" s="16">
        <v>0.0565</v>
      </c>
      <c r="H4" s="16">
        <v>0.0116</v>
      </c>
      <c r="I4" s="27">
        <v>0.1811</v>
      </c>
      <c r="J4" s="16">
        <v>0.116</v>
      </c>
      <c r="K4" s="16">
        <v>0.1491</v>
      </c>
      <c r="L4" s="16">
        <v>0.1492</v>
      </c>
      <c r="M4" s="29">
        <v>1.0801</v>
      </c>
    </row>
    <row r="5" ht="15.6" customHeight="1" spans="1:13">
      <c r="A5" s="12" t="s">
        <v>282</v>
      </c>
      <c r="B5" s="13" t="s">
        <v>156</v>
      </c>
      <c r="C5" s="13" t="s">
        <v>1040</v>
      </c>
      <c r="D5" s="13" t="s">
        <v>1034</v>
      </c>
      <c r="E5" s="16" t="s">
        <v>588</v>
      </c>
      <c r="F5" s="16">
        <v>0.0206</v>
      </c>
      <c r="G5" s="16">
        <v>-0.0057</v>
      </c>
      <c r="H5" s="16">
        <v>0.0301</v>
      </c>
      <c r="I5" s="27">
        <v>0.1263</v>
      </c>
      <c r="J5" s="16">
        <v>0.0545</v>
      </c>
      <c r="K5" s="16">
        <v>0.0545</v>
      </c>
      <c r="L5" s="16">
        <v>0.0662</v>
      </c>
      <c r="M5" s="29">
        <v>1.6052</v>
      </c>
    </row>
    <row r="6" ht="15.6" customHeight="1" spans="1:13">
      <c r="A6" s="12" t="s">
        <v>594</v>
      </c>
      <c r="B6" s="13" t="s">
        <v>54</v>
      </c>
      <c r="C6" s="13" t="s">
        <v>1041</v>
      </c>
      <c r="D6" s="13" t="s">
        <v>1038</v>
      </c>
      <c r="E6" s="16" t="s">
        <v>1042</v>
      </c>
      <c r="F6" s="16">
        <v>0.0205</v>
      </c>
      <c r="G6" s="16">
        <v>0.0139</v>
      </c>
      <c r="H6" s="16">
        <v>0.078</v>
      </c>
      <c r="I6" s="27">
        <v>0.3853</v>
      </c>
      <c r="J6" s="16">
        <v>0.0837</v>
      </c>
      <c r="K6" s="16">
        <v>0.1822</v>
      </c>
      <c r="L6" s="16">
        <v>0.2219</v>
      </c>
      <c r="M6" s="29">
        <v>1.6461</v>
      </c>
    </row>
    <row r="7" ht="15.6" customHeight="1" spans="1:13">
      <c r="A7" s="12" t="s">
        <v>1043</v>
      </c>
      <c r="B7" s="13" t="s">
        <v>30</v>
      </c>
      <c r="C7" s="13" t="s">
        <v>1044</v>
      </c>
      <c r="D7" s="13" t="s">
        <v>1034</v>
      </c>
      <c r="E7" s="16" t="s">
        <v>1045</v>
      </c>
      <c r="F7" s="16">
        <v>0.0194</v>
      </c>
      <c r="G7" s="16">
        <v>-0.0151</v>
      </c>
      <c r="H7" s="16">
        <v>0.0113</v>
      </c>
      <c r="I7" s="27">
        <v>0.1684</v>
      </c>
      <c r="J7" s="16">
        <v>0.0786</v>
      </c>
      <c r="K7" s="16">
        <v>0.0786</v>
      </c>
      <c r="L7" s="16">
        <v>0.1139</v>
      </c>
      <c r="M7" s="29">
        <v>1.3029</v>
      </c>
    </row>
    <row r="8" ht="15.6" customHeight="1" spans="1:13">
      <c r="A8" s="12" t="s">
        <v>100</v>
      </c>
      <c r="B8" s="13" t="s">
        <v>30</v>
      </c>
      <c r="C8" s="13" t="s">
        <v>1046</v>
      </c>
      <c r="D8" s="13" t="s">
        <v>1034</v>
      </c>
      <c r="E8" s="16" t="s">
        <v>1047</v>
      </c>
      <c r="F8" s="16">
        <v>0.0176</v>
      </c>
      <c r="G8" s="16">
        <v>0.0164</v>
      </c>
      <c r="H8" s="16">
        <v>0.0148</v>
      </c>
      <c r="I8" s="27">
        <v>0.0096</v>
      </c>
      <c r="J8" s="16">
        <v>0.0375</v>
      </c>
      <c r="K8" s="16">
        <v>0.1444</v>
      </c>
      <c r="L8" s="16">
        <v>0.0886</v>
      </c>
      <c r="M8" s="29">
        <v>-0.1173</v>
      </c>
    </row>
    <row r="9" ht="15.6" customHeight="1" spans="1:13">
      <c r="A9" s="12" t="s">
        <v>1048</v>
      </c>
      <c r="B9" s="13" t="s">
        <v>38</v>
      </c>
      <c r="C9" s="13" t="s">
        <v>1049</v>
      </c>
      <c r="D9" s="13" t="s">
        <v>1038</v>
      </c>
      <c r="E9" s="16" t="s">
        <v>1050</v>
      </c>
      <c r="F9" s="16">
        <v>0.0166</v>
      </c>
      <c r="G9" s="16">
        <v>-0.007</v>
      </c>
      <c r="H9" s="16">
        <v>0.0344</v>
      </c>
      <c r="I9" s="27">
        <v>0.2295</v>
      </c>
      <c r="J9" s="16">
        <v>0.0658</v>
      </c>
      <c r="K9" s="16">
        <v>0.1128</v>
      </c>
      <c r="L9" s="16">
        <v>0.1596</v>
      </c>
      <c r="M9" s="29">
        <v>1.3121</v>
      </c>
    </row>
    <row r="10" ht="15.6" customHeight="1" spans="1:13">
      <c r="A10" s="12" t="s">
        <v>1051</v>
      </c>
      <c r="B10" s="13" t="s">
        <v>217</v>
      </c>
      <c r="C10" s="13" t="s">
        <v>1052</v>
      </c>
      <c r="D10" s="13" t="s">
        <v>1038</v>
      </c>
      <c r="E10" s="16" t="s">
        <v>1053</v>
      </c>
      <c r="F10" s="16">
        <v>0.0052</v>
      </c>
      <c r="G10" s="16">
        <v>0.0008</v>
      </c>
      <c r="H10" s="16">
        <v>0.0466</v>
      </c>
      <c r="I10" s="27">
        <v>0.1934</v>
      </c>
      <c r="J10" s="16">
        <v>0.0547</v>
      </c>
      <c r="K10" s="16">
        <v>0.0547</v>
      </c>
      <c r="L10" s="16">
        <v>0.0911</v>
      </c>
      <c r="M10" s="29">
        <v>1.9039</v>
      </c>
    </row>
    <row r="11" ht="15.6" customHeight="1" spans="1:13">
      <c r="A11" s="12" t="s">
        <v>415</v>
      </c>
      <c r="B11" s="13" t="s">
        <v>38</v>
      </c>
      <c r="C11" s="13" t="s">
        <v>1054</v>
      </c>
      <c r="D11" s="13" t="s">
        <v>1038</v>
      </c>
      <c r="E11" s="16" t="s">
        <v>1055</v>
      </c>
      <c r="F11" s="16">
        <v>0.0032</v>
      </c>
      <c r="G11" s="16">
        <v>-0.0171</v>
      </c>
      <c r="H11" s="16">
        <v>-0.0047</v>
      </c>
      <c r="I11" s="27">
        <v>-0.0122</v>
      </c>
      <c r="J11" s="16">
        <v>0.0707</v>
      </c>
      <c r="K11" s="16">
        <v>0.0707</v>
      </c>
      <c r="L11" s="16">
        <v>0.1302</v>
      </c>
      <c r="M11" s="29">
        <v>-0.2474</v>
      </c>
    </row>
    <row r="12" ht="15.6" customHeight="1" spans="1:13">
      <c r="A12" s="12" t="s">
        <v>1056</v>
      </c>
      <c r="B12" s="13" t="s">
        <v>54</v>
      </c>
      <c r="C12" s="13" t="s">
        <v>1057</v>
      </c>
      <c r="D12" s="13" t="s">
        <v>1034</v>
      </c>
      <c r="E12" s="16" t="s">
        <v>815</v>
      </c>
      <c r="F12" s="16">
        <v>0.0029</v>
      </c>
      <c r="G12" s="16">
        <v>-0.0329</v>
      </c>
      <c r="H12" s="16">
        <v>-0.0627</v>
      </c>
      <c r="I12" s="27">
        <v>-0.0095</v>
      </c>
      <c r="J12" s="16">
        <v>0.1521</v>
      </c>
      <c r="K12" s="16">
        <v>0.1521</v>
      </c>
      <c r="L12" s="16">
        <v>0.0933</v>
      </c>
      <c r="M12" s="29">
        <v>-0.3159</v>
      </c>
    </row>
    <row r="13" ht="15.6" customHeight="1" spans="1:13">
      <c r="A13" s="12" t="s">
        <v>409</v>
      </c>
      <c r="B13" s="13" t="s">
        <v>156</v>
      </c>
      <c r="C13" s="13" t="s">
        <v>1058</v>
      </c>
      <c r="D13" s="13" t="s">
        <v>1038</v>
      </c>
      <c r="E13" s="16" t="s">
        <v>411</v>
      </c>
      <c r="F13" s="16">
        <v>0.0018</v>
      </c>
      <c r="G13" s="16">
        <v>-0.0258</v>
      </c>
      <c r="H13" s="16">
        <v>0.0288</v>
      </c>
      <c r="I13" s="27">
        <v>0.1566</v>
      </c>
      <c r="J13" s="16">
        <v>0.0479</v>
      </c>
      <c r="K13" s="16">
        <v>0.2129</v>
      </c>
      <c r="L13" s="16">
        <v>0.1598</v>
      </c>
      <c r="M13" s="29">
        <v>0.8552</v>
      </c>
    </row>
    <row r="14" ht="15.6" customHeight="1" spans="1:13">
      <c r="A14" s="12" t="s">
        <v>474</v>
      </c>
      <c r="B14" s="13" t="s">
        <v>156</v>
      </c>
      <c r="C14" s="13" t="s">
        <v>1059</v>
      </c>
      <c r="D14" s="13" t="s">
        <v>1038</v>
      </c>
      <c r="E14" s="16" t="s">
        <v>1060</v>
      </c>
      <c r="F14" s="16">
        <v>0.0018</v>
      </c>
      <c r="G14" s="16">
        <v>0.0147</v>
      </c>
      <c r="H14" s="16">
        <v>0.1152</v>
      </c>
      <c r="I14" s="27">
        <v>0.2629</v>
      </c>
      <c r="J14" s="16">
        <v>0.065</v>
      </c>
      <c r="K14" s="16">
        <v>0.1707</v>
      </c>
      <c r="L14" s="16">
        <v>0.1832</v>
      </c>
      <c r="M14" s="29">
        <v>1.3257</v>
      </c>
    </row>
    <row r="15" ht="15.6" customHeight="1" spans="1:13">
      <c r="A15" s="12" t="s">
        <v>401</v>
      </c>
      <c r="B15" s="13" t="s">
        <v>156</v>
      </c>
      <c r="C15" s="13" t="s">
        <v>1061</v>
      </c>
      <c r="D15" s="13" t="s">
        <v>1034</v>
      </c>
      <c r="E15" s="16" t="s">
        <v>1062</v>
      </c>
      <c r="F15" s="16">
        <v>0.0016</v>
      </c>
      <c r="G15" s="16">
        <v>0.001</v>
      </c>
      <c r="H15" s="16">
        <v>0.2077</v>
      </c>
      <c r="I15" s="27">
        <v>0.3082</v>
      </c>
      <c r="J15" s="16">
        <v>0.0396</v>
      </c>
      <c r="K15" s="16">
        <v>0.0396</v>
      </c>
      <c r="L15" s="16">
        <v>0.1009</v>
      </c>
      <c r="M15" s="29">
        <v>2.8561</v>
      </c>
    </row>
    <row r="16" ht="15.6" customHeight="1" spans="1:13">
      <c r="A16" s="12" t="s">
        <v>1063</v>
      </c>
      <c r="B16" s="13" t="s">
        <v>38</v>
      </c>
      <c r="C16" s="13" t="s">
        <v>1064</v>
      </c>
      <c r="D16" s="13" t="s">
        <v>1034</v>
      </c>
      <c r="E16" s="16" t="s">
        <v>1065</v>
      </c>
      <c r="F16" s="16">
        <v>0.0005</v>
      </c>
      <c r="G16" s="16">
        <v>0.0178</v>
      </c>
      <c r="H16" s="16">
        <v>0.0361</v>
      </c>
      <c r="I16" s="27">
        <v>0.0475</v>
      </c>
      <c r="J16" s="16">
        <v>0.0063</v>
      </c>
      <c r="K16" s="16">
        <v>0.0492</v>
      </c>
      <c r="L16" s="16">
        <v>0.0445</v>
      </c>
      <c r="M16" s="29">
        <v>0.6188</v>
      </c>
    </row>
    <row r="17" ht="15.6" customHeight="1" spans="1:13">
      <c r="A17" s="12" t="s">
        <v>525</v>
      </c>
      <c r="B17" s="13" t="s">
        <v>38</v>
      </c>
      <c r="C17" s="13" t="s">
        <v>1066</v>
      </c>
      <c r="D17" s="13" t="s">
        <v>1038</v>
      </c>
      <c r="E17" s="16" t="s">
        <v>1067</v>
      </c>
      <c r="F17" s="16">
        <v>0.0002</v>
      </c>
      <c r="G17" s="16">
        <v>-0.0075</v>
      </c>
      <c r="H17" s="16">
        <v>-0.0514</v>
      </c>
      <c r="I17" s="27">
        <v>0.1216</v>
      </c>
      <c r="J17" s="16">
        <v>0.0772</v>
      </c>
      <c r="K17" s="16">
        <v>0.0812</v>
      </c>
      <c r="L17" s="16">
        <v>0.1339</v>
      </c>
      <c r="M17" s="29">
        <v>0.7587</v>
      </c>
    </row>
    <row r="18" ht="15.6" customHeight="1" spans="1:13">
      <c r="A18" s="12" t="s">
        <v>291</v>
      </c>
      <c r="B18" s="13" t="s">
        <v>217</v>
      </c>
      <c r="C18" s="13" t="s">
        <v>1068</v>
      </c>
      <c r="D18" s="13" t="s">
        <v>1038</v>
      </c>
      <c r="E18" s="16" t="s">
        <v>1069</v>
      </c>
      <c r="F18" s="16">
        <v>-0.0001</v>
      </c>
      <c r="G18" s="16">
        <v>-0.0002</v>
      </c>
      <c r="H18" s="16">
        <v>0.0209</v>
      </c>
      <c r="I18" s="27">
        <v>0.0349</v>
      </c>
      <c r="J18" s="16">
        <v>0.0965</v>
      </c>
      <c r="K18" s="16">
        <v>0.0965</v>
      </c>
      <c r="L18" s="16">
        <v>0.0972</v>
      </c>
      <c r="M18" s="29">
        <v>0.1529</v>
      </c>
    </row>
    <row r="19" ht="15.6" customHeight="1" spans="1:13">
      <c r="A19" s="12" t="s">
        <v>1070</v>
      </c>
      <c r="B19" s="13" t="s">
        <v>61</v>
      </c>
      <c r="C19" s="13" t="s">
        <v>1071</v>
      </c>
      <c r="D19" s="13" t="s">
        <v>1038</v>
      </c>
      <c r="E19" s="16" t="s">
        <v>1072</v>
      </c>
      <c r="F19" s="16">
        <v>-0.0021</v>
      </c>
      <c r="G19" s="16">
        <v>0.0027</v>
      </c>
      <c r="H19" s="16">
        <v>0.0203</v>
      </c>
      <c r="I19" s="27">
        <v>0.3769</v>
      </c>
      <c r="J19" s="16">
        <v>0.0168</v>
      </c>
      <c r="K19" s="16">
        <v>0.3156</v>
      </c>
      <c r="L19" s="16">
        <v>0.3949</v>
      </c>
      <c r="M19" s="29">
        <v>0.9037</v>
      </c>
    </row>
    <row r="20" ht="15.6" customHeight="1" spans="1:13">
      <c r="A20" s="12" t="s">
        <v>507</v>
      </c>
      <c r="B20" s="13" t="s">
        <v>30</v>
      </c>
      <c r="C20" s="13" t="s">
        <v>1073</v>
      </c>
      <c r="D20" s="13" t="s">
        <v>1034</v>
      </c>
      <c r="E20" s="16" t="s">
        <v>1074</v>
      </c>
      <c r="F20" s="16">
        <v>-0.0023</v>
      </c>
      <c r="G20" s="16">
        <v>0.0208</v>
      </c>
      <c r="H20" s="16">
        <v>0.0576</v>
      </c>
      <c r="I20" s="27">
        <v>0.0337</v>
      </c>
      <c r="J20" s="16">
        <v>0.0307</v>
      </c>
      <c r="K20" s="16">
        <v>0.0737</v>
      </c>
      <c r="L20" s="16">
        <v>0.0767</v>
      </c>
      <c r="M20" s="29">
        <v>0.1786</v>
      </c>
    </row>
    <row r="21" ht="15.6" customHeight="1" spans="1:13">
      <c r="A21" s="12" t="s">
        <v>1075</v>
      </c>
      <c r="B21" s="13" t="s">
        <v>217</v>
      </c>
      <c r="C21" s="13" t="s">
        <v>1076</v>
      </c>
      <c r="D21" s="13" t="s">
        <v>1038</v>
      </c>
      <c r="E21" s="16" t="s">
        <v>203</v>
      </c>
      <c r="F21" s="16">
        <v>-0.0112</v>
      </c>
      <c r="G21" s="16">
        <v>0.0066</v>
      </c>
      <c r="H21" s="16">
        <v>0.0376</v>
      </c>
      <c r="I21" s="27">
        <v>0.3014</v>
      </c>
      <c r="J21" s="16">
        <v>0.0559</v>
      </c>
      <c r="K21" s="16">
        <v>0.0559</v>
      </c>
      <c r="L21" s="16">
        <v>0.1151</v>
      </c>
      <c r="M21" s="29">
        <v>2.4453</v>
      </c>
    </row>
    <row r="22" ht="15.6" customHeight="1" spans="1:13">
      <c r="A22" s="12" t="s">
        <v>1077</v>
      </c>
      <c r="B22" s="13" t="s">
        <v>30</v>
      </c>
      <c r="C22" s="13" t="s">
        <v>1078</v>
      </c>
      <c r="D22" s="13" t="s">
        <v>1034</v>
      </c>
      <c r="E22" s="16" t="s">
        <v>1079</v>
      </c>
      <c r="F22" s="16">
        <v>-0.0182</v>
      </c>
      <c r="G22" s="16">
        <v>0.0167</v>
      </c>
      <c r="H22" s="16">
        <v>0.022</v>
      </c>
      <c r="I22" s="27">
        <v>0.0551</v>
      </c>
      <c r="J22" s="16">
        <v>0.112</v>
      </c>
      <c r="K22" s="16">
        <v>0.1363</v>
      </c>
      <c r="L22" s="16">
        <v>0.1729</v>
      </c>
      <c r="M22" s="29">
        <v>0.2033</v>
      </c>
    </row>
    <row r="23" ht="15.6" customHeight="1" spans="1:13">
      <c r="A23" s="12" t="s">
        <v>1080</v>
      </c>
      <c r="B23" s="13" t="s">
        <v>30</v>
      </c>
      <c r="C23" s="13" t="s">
        <v>1081</v>
      </c>
      <c r="D23" s="13" t="s">
        <v>1034</v>
      </c>
      <c r="E23" s="16" t="s">
        <v>1082</v>
      </c>
      <c r="F23" s="16">
        <v>-0.0354</v>
      </c>
      <c r="G23" s="16">
        <v>0.0862</v>
      </c>
      <c r="H23" s="16">
        <v>0.0969</v>
      </c>
      <c r="I23" s="27">
        <v>0.1469</v>
      </c>
      <c r="J23" s="16">
        <v>0.1054</v>
      </c>
      <c r="K23" s="16">
        <v>0.1336</v>
      </c>
      <c r="L23" s="16">
        <v>0.1315</v>
      </c>
      <c r="M23" s="29">
        <v>0.9651</v>
      </c>
    </row>
    <row r="24" ht="15.6" customHeight="1" spans="1:13">
      <c r="A24" s="12" t="s">
        <v>1083</v>
      </c>
      <c r="B24" s="13" t="s">
        <v>61</v>
      </c>
      <c r="C24" s="13" t="s">
        <v>1084</v>
      </c>
      <c r="D24" s="13" t="s">
        <v>1034</v>
      </c>
      <c r="E24" s="16" t="s">
        <v>1085</v>
      </c>
      <c r="F24" s="16">
        <v>-0.0581</v>
      </c>
      <c r="G24" s="16">
        <v>0.0002</v>
      </c>
      <c r="H24" s="16">
        <v>0.0106</v>
      </c>
      <c r="I24" s="27">
        <v>0.153</v>
      </c>
      <c r="J24" s="16">
        <v>0.1598</v>
      </c>
      <c r="K24" s="16">
        <v>0.1598</v>
      </c>
      <c r="L24" s="16">
        <v>0.1891</v>
      </c>
      <c r="M24" s="29">
        <v>0.7035</v>
      </c>
    </row>
    <row r="25" ht="15.6" customHeight="1" spans="1:13">
      <c r="A25" s="12" t="s">
        <v>198</v>
      </c>
      <c r="B25" s="13" t="s">
        <v>54</v>
      </c>
      <c r="C25" s="13" t="s">
        <v>1086</v>
      </c>
      <c r="D25" s="13" t="s">
        <v>1034</v>
      </c>
      <c r="E25" s="16" t="s">
        <v>1087</v>
      </c>
      <c r="F25" s="16">
        <v>-0.0858</v>
      </c>
      <c r="G25" s="16">
        <v>-0.0716</v>
      </c>
      <c r="H25" s="16">
        <v>0.18</v>
      </c>
      <c r="I25" s="27">
        <v>0.1917</v>
      </c>
      <c r="J25" s="16">
        <v>0.1105</v>
      </c>
      <c r="K25" s="16">
        <v>0.275</v>
      </c>
      <c r="L25" s="16">
        <v>0.2321</v>
      </c>
      <c r="M25" s="29">
        <v>0.7396</v>
      </c>
    </row>
    <row r="26" ht="15.6" customHeight="1" spans="1:13">
      <c r="A26" s="12"/>
      <c r="B26" s="13"/>
      <c r="C26" s="13"/>
      <c r="D26" s="13"/>
      <c r="E26" s="16"/>
      <c r="F26" s="16"/>
      <c r="G26" s="16"/>
      <c r="H26" s="16"/>
      <c r="I26" s="29"/>
      <c r="J26" s="16"/>
      <c r="K26" s="16"/>
      <c r="L26" s="16"/>
      <c r="M26" s="29"/>
    </row>
    <row r="27" ht="15.6" customHeight="1" spans="1:13">
      <c r="A27" s="12"/>
      <c r="B27" s="13"/>
      <c r="C27" s="13"/>
      <c r="D27" s="13"/>
      <c r="E27" s="16"/>
      <c r="F27" s="16"/>
      <c r="G27" s="16"/>
      <c r="H27" s="16"/>
      <c r="I27" s="29"/>
      <c r="J27" s="16"/>
      <c r="K27" s="16"/>
      <c r="L27" s="16"/>
      <c r="M27" s="29"/>
    </row>
    <row r="28" ht="15.6" customHeight="1" spans="1:13">
      <c r="A28" s="12"/>
      <c r="B28" s="13"/>
      <c r="C28" s="13"/>
      <c r="D28" s="13"/>
      <c r="E28" s="16"/>
      <c r="F28" s="16"/>
      <c r="G28" s="16"/>
      <c r="H28" s="16"/>
      <c r="I28" s="29"/>
      <c r="J28" s="16"/>
      <c r="K28" s="16"/>
      <c r="L28" s="16"/>
      <c r="M28" s="29"/>
    </row>
    <row r="29" ht="15.6" customHeight="1" spans="1:13">
      <c r="A29" s="12"/>
      <c r="B29" s="13"/>
      <c r="C29" s="13"/>
      <c r="D29" s="13"/>
      <c r="E29" s="16"/>
      <c r="F29" s="16"/>
      <c r="G29" s="16"/>
      <c r="H29" s="16"/>
      <c r="I29" s="29"/>
      <c r="J29" s="16"/>
      <c r="K29" s="16"/>
      <c r="L29" s="16"/>
      <c r="M29" s="29"/>
    </row>
    <row r="30" ht="15.6" customHeight="1" spans="1:13">
      <c r="A30" s="12"/>
      <c r="B30" s="13"/>
      <c r="C30" s="13"/>
      <c r="D30" s="13"/>
      <c r="E30" s="16"/>
      <c r="F30" s="16"/>
      <c r="G30" s="16"/>
      <c r="H30" s="16"/>
      <c r="I30" s="29"/>
      <c r="J30" s="16"/>
      <c r="K30" s="16"/>
      <c r="L30" s="16"/>
      <c r="M30" s="29"/>
    </row>
    <row r="31" ht="15.6" customHeight="1" spans="1:13">
      <c r="A31" s="12"/>
      <c r="B31" s="13"/>
      <c r="C31" s="13"/>
      <c r="D31" s="13"/>
      <c r="E31" s="16"/>
      <c r="F31" s="16"/>
      <c r="G31" s="16"/>
      <c r="H31" s="16"/>
      <c r="I31" s="29"/>
      <c r="J31" s="16"/>
      <c r="K31" s="16"/>
      <c r="L31" s="16"/>
      <c r="M31" s="29"/>
    </row>
    <row r="32" ht="15.6" customHeight="1" spans="1:13">
      <c r="A32" s="12"/>
      <c r="B32" s="13"/>
      <c r="C32" s="13"/>
      <c r="D32" s="13"/>
      <c r="E32" s="16"/>
      <c r="F32" s="16"/>
      <c r="G32" s="16"/>
      <c r="H32" s="16"/>
      <c r="I32" s="29"/>
      <c r="J32" s="16"/>
      <c r="K32" s="16"/>
      <c r="L32" s="16"/>
      <c r="M32" s="29"/>
    </row>
    <row r="33" ht="15.6" customHeight="1" spans="1:13">
      <c r="A33" s="12"/>
      <c r="B33" s="13"/>
      <c r="C33" s="13"/>
      <c r="D33" s="13"/>
      <c r="E33" s="16"/>
      <c r="F33" s="16"/>
      <c r="G33" s="16"/>
      <c r="H33" s="16"/>
      <c r="I33" s="29"/>
      <c r="J33" s="16"/>
      <c r="K33" s="16"/>
      <c r="L33" s="16"/>
      <c r="M33" s="29"/>
    </row>
    <row r="34" ht="15.6" customHeight="1" spans="1:13">
      <c r="A34" s="12"/>
      <c r="B34" s="13"/>
      <c r="C34" s="13"/>
      <c r="D34" s="13"/>
      <c r="E34" s="16"/>
      <c r="F34" s="16"/>
      <c r="G34" s="16"/>
      <c r="H34" s="16"/>
      <c r="I34" s="29"/>
      <c r="J34" s="16"/>
      <c r="K34" s="16"/>
      <c r="L34" s="16"/>
      <c r="M34" s="29"/>
    </row>
    <row r="35" ht="15.6" customHeight="1" spans="1:13">
      <c r="A35" s="12"/>
      <c r="B35" s="13"/>
      <c r="C35" s="13"/>
      <c r="D35" s="13"/>
      <c r="E35" s="16"/>
      <c r="F35" s="16"/>
      <c r="G35" s="16"/>
      <c r="H35" s="16"/>
      <c r="I35" s="29"/>
      <c r="J35" s="16"/>
      <c r="K35" s="16"/>
      <c r="L35" s="16"/>
      <c r="M35" s="29"/>
    </row>
    <row r="36" ht="15.6" customHeight="1" spans="1:13">
      <c r="A36" s="12"/>
      <c r="B36" s="13"/>
      <c r="C36" s="13"/>
      <c r="D36" s="13"/>
      <c r="E36" s="16"/>
      <c r="F36" s="16"/>
      <c r="G36" s="16"/>
      <c r="H36" s="16"/>
      <c r="I36" s="29"/>
      <c r="J36" s="16"/>
      <c r="K36" s="16"/>
      <c r="L36" s="16"/>
      <c r="M36" s="29"/>
    </row>
    <row r="37" ht="15.6" customHeight="1" spans="1:13">
      <c r="A37" s="12"/>
      <c r="B37" s="13"/>
      <c r="C37" s="13"/>
      <c r="D37" s="13"/>
      <c r="E37" s="16"/>
      <c r="F37" s="16"/>
      <c r="G37" s="16"/>
      <c r="H37" s="16"/>
      <c r="I37" s="29"/>
      <c r="J37" s="16"/>
      <c r="K37" s="16"/>
      <c r="L37" s="16"/>
      <c r="M37" s="29"/>
    </row>
    <row r="38" ht="15.6" customHeight="1" spans="1:13">
      <c r="A38" s="12"/>
      <c r="B38" s="13"/>
      <c r="C38" s="13"/>
      <c r="D38" s="13"/>
      <c r="E38" s="16"/>
      <c r="F38" s="16"/>
      <c r="G38" s="16"/>
      <c r="H38" s="16"/>
      <c r="I38" s="29"/>
      <c r="J38" s="16"/>
      <c r="K38" s="16"/>
      <c r="L38" s="16"/>
      <c r="M38" s="29"/>
    </row>
    <row r="39" ht="15.6" customHeight="1" spans="1:13">
      <c r="A39" s="12"/>
      <c r="B39" s="13"/>
      <c r="C39" s="13"/>
      <c r="D39" s="13"/>
      <c r="E39" s="16"/>
      <c r="F39" s="16"/>
      <c r="G39" s="16"/>
      <c r="H39" s="16"/>
      <c r="I39" s="29"/>
      <c r="J39" s="16"/>
      <c r="K39" s="16"/>
      <c r="L39" s="16"/>
      <c r="M39" s="29"/>
    </row>
    <row r="40" ht="15.6" customHeight="1" spans="1:13">
      <c r="A40" s="12"/>
      <c r="B40" s="13"/>
      <c r="C40" s="13"/>
      <c r="D40" s="13"/>
      <c r="E40" s="16"/>
      <c r="F40" s="16"/>
      <c r="G40" s="16"/>
      <c r="H40" s="16"/>
      <c r="I40" s="29"/>
      <c r="J40" s="16"/>
      <c r="K40" s="16"/>
      <c r="L40" s="16"/>
      <c r="M40" s="29"/>
    </row>
    <row r="41" ht="15.6" customHeight="1" spans="1:13">
      <c r="A41" s="12"/>
      <c r="B41" s="13"/>
      <c r="C41" s="13"/>
      <c r="D41" s="13"/>
      <c r="E41" s="16"/>
      <c r="F41" s="16"/>
      <c r="G41" s="16"/>
      <c r="H41" s="16"/>
      <c r="I41" s="29"/>
      <c r="J41" s="16"/>
      <c r="K41" s="16"/>
      <c r="L41" s="16"/>
      <c r="M41" s="29"/>
    </row>
    <row r="42" ht="15.6" customHeight="1" spans="1:13">
      <c r="A42" s="12"/>
      <c r="B42" s="13"/>
      <c r="C42" s="13"/>
      <c r="D42" s="13"/>
      <c r="E42" s="16"/>
      <c r="F42" s="16"/>
      <c r="G42" s="16"/>
      <c r="H42" s="16"/>
      <c r="I42" s="29"/>
      <c r="J42" s="16"/>
      <c r="K42" s="16"/>
      <c r="L42" s="16"/>
      <c r="M42" s="29"/>
    </row>
    <row r="43" ht="15.6" customHeight="1" spans="1:13">
      <c r="A43" s="12"/>
      <c r="B43" s="13"/>
      <c r="C43" s="13"/>
      <c r="D43" s="13"/>
      <c r="E43" s="16"/>
      <c r="F43" s="16"/>
      <c r="G43" s="16"/>
      <c r="H43" s="16"/>
      <c r="I43" s="29"/>
      <c r="J43" s="16"/>
      <c r="K43" s="16"/>
      <c r="L43" s="16"/>
      <c r="M43" s="29"/>
    </row>
    <row r="44" ht="15.6" customHeight="1" spans="1:13">
      <c r="A44" s="12"/>
      <c r="B44" s="13"/>
      <c r="C44" s="13"/>
      <c r="D44" s="13"/>
      <c r="E44" s="16"/>
      <c r="F44" s="16"/>
      <c r="G44" s="16"/>
      <c r="H44" s="16"/>
      <c r="I44" s="29"/>
      <c r="J44" s="16"/>
      <c r="K44" s="16"/>
      <c r="L44" s="16"/>
      <c r="M44" s="29"/>
    </row>
    <row r="45" ht="15.6" customHeight="1" spans="1:13">
      <c r="A45" s="12"/>
      <c r="B45" s="13"/>
      <c r="C45" s="13"/>
      <c r="D45" s="13"/>
      <c r="E45" s="16"/>
      <c r="F45" s="16"/>
      <c r="G45" s="16"/>
      <c r="H45" s="16"/>
      <c r="I45" s="29"/>
      <c r="J45" s="16"/>
      <c r="K45" s="16"/>
      <c r="L45" s="16"/>
      <c r="M45" s="29"/>
    </row>
    <row r="46" ht="15.6" customHeight="1" spans="1:13">
      <c r="A46" s="12"/>
      <c r="B46" s="13"/>
      <c r="C46" s="13"/>
      <c r="D46" s="13"/>
      <c r="E46" s="16"/>
      <c r="F46" s="16"/>
      <c r="G46" s="16"/>
      <c r="H46" s="16"/>
      <c r="I46" s="29"/>
      <c r="J46" s="16"/>
      <c r="K46" s="16"/>
      <c r="L46" s="16"/>
      <c r="M46" s="29"/>
    </row>
    <row r="47" ht="15.6" customHeight="1" spans="1:13">
      <c r="A47" s="12"/>
      <c r="B47" s="13"/>
      <c r="C47" s="13"/>
      <c r="D47" s="13"/>
      <c r="E47" s="16"/>
      <c r="F47" s="16"/>
      <c r="G47" s="16"/>
      <c r="H47" s="16"/>
      <c r="I47" s="29"/>
      <c r="J47" s="16"/>
      <c r="K47" s="16"/>
      <c r="L47" s="16"/>
      <c r="M47" s="29"/>
    </row>
    <row r="48" ht="15.6" customHeight="1" spans="1:13">
      <c r="A48" s="12"/>
      <c r="B48" s="13"/>
      <c r="C48" s="13"/>
      <c r="D48" s="13"/>
      <c r="E48" s="16"/>
      <c r="F48" s="16"/>
      <c r="G48" s="16"/>
      <c r="H48" s="16"/>
      <c r="I48" s="29"/>
      <c r="J48" s="16"/>
      <c r="K48" s="16"/>
      <c r="L48" s="16"/>
      <c r="M48" s="29"/>
    </row>
    <row r="49" ht="15.6" customHeight="1" spans="1:13">
      <c r="A49" s="12"/>
      <c r="B49" s="13"/>
      <c r="C49" s="13"/>
      <c r="D49" s="13"/>
      <c r="E49" s="16"/>
      <c r="F49" s="16"/>
      <c r="G49" s="16"/>
      <c r="H49" s="16"/>
      <c r="I49" s="29"/>
      <c r="J49" s="16"/>
      <c r="K49" s="16"/>
      <c r="L49" s="16"/>
      <c r="M49" s="29"/>
    </row>
    <row r="50" ht="15.6" customHeight="1" spans="1:13">
      <c r="A50" s="12"/>
      <c r="B50" s="13"/>
      <c r="C50" s="13"/>
      <c r="D50" s="13"/>
      <c r="E50" s="16"/>
      <c r="F50" s="16"/>
      <c r="G50" s="16"/>
      <c r="H50" s="16"/>
      <c r="I50" s="29"/>
      <c r="J50" s="16"/>
      <c r="K50" s="16"/>
      <c r="L50" s="16"/>
      <c r="M50" s="29"/>
    </row>
    <row r="51" ht="15.6" customHeight="1" spans="1:13">
      <c r="A51" s="12"/>
      <c r="B51" s="13"/>
      <c r="C51" s="13"/>
      <c r="D51" s="13"/>
      <c r="E51" s="16"/>
      <c r="F51" s="16"/>
      <c r="G51" s="16"/>
      <c r="H51" s="16"/>
      <c r="I51" s="29"/>
      <c r="J51" s="16"/>
      <c r="K51" s="16"/>
      <c r="L51" s="16"/>
      <c r="M51" s="29"/>
    </row>
    <row r="52" ht="15.6" customHeight="1" spans="1:13">
      <c r="A52" s="12"/>
      <c r="B52" s="13"/>
      <c r="C52" s="13"/>
      <c r="D52" s="13"/>
      <c r="E52" s="16"/>
      <c r="F52" s="16"/>
      <c r="G52" s="16"/>
      <c r="H52" s="16"/>
      <c r="I52" s="29"/>
      <c r="J52" s="16"/>
      <c r="K52" s="16"/>
      <c r="L52" s="16"/>
      <c r="M52" s="29"/>
    </row>
    <row r="53" ht="15.6" customHeight="1" spans="1:13">
      <c r="A53" s="12"/>
      <c r="B53" s="13"/>
      <c r="C53" s="13"/>
      <c r="D53" s="13"/>
      <c r="E53" s="16"/>
      <c r="F53" s="16"/>
      <c r="G53" s="16"/>
      <c r="H53" s="16"/>
      <c r="I53" s="29"/>
      <c r="J53" s="16"/>
      <c r="K53" s="16"/>
      <c r="L53" s="16"/>
      <c r="M53" s="29"/>
    </row>
    <row r="54" ht="15.6" customHeight="1" spans="1:13">
      <c r="A54" s="12"/>
      <c r="B54" s="13"/>
      <c r="C54" s="13"/>
      <c r="D54" s="13"/>
      <c r="E54" s="16"/>
      <c r="F54" s="16"/>
      <c r="G54" s="16"/>
      <c r="H54" s="16"/>
      <c r="I54" s="29"/>
      <c r="J54" s="16"/>
      <c r="K54" s="16"/>
      <c r="L54" s="16"/>
      <c r="M54" s="29"/>
    </row>
    <row r="55" ht="15.6" customHeight="1" spans="1:13">
      <c r="A55" s="12"/>
      <c r="B55" s="13"/>
      <c r="C55" s="13"/>
      <c r="D55" s="13"/>
      <c r="E55" s="16"/>
      <c r="F55" s="16"/>
      <c r="G55" s="16"/>
      <c r="H55" s="16"/>
      <c r="I55" s="29"/>
      <c r="J55" s="16"/>
      <c r="K55" s="16"/>
      <c r="L55" s="16"/>
      <c r="M55" s="29"/>
    </row>
    <row r="56" ht="15.6" customHeight="1" spans="1:13">
      <c r="A56" s="12"/>
      <c r="B56" s="13"/>
      <c r="C56" s="13"/>
      <c r="D56" s="13"/>
      <c r="E56" s="16"/>
      <c r="F56" s="16"/>
      <c r="G56" s="16"/>
      <c r="H56" s="16"/>
      <c r="I56" s="29"/>
      <c r="J56" s="16"/>
      <c r="K56" s="16"/>
      <c r="L56" s="16"/>
      <c r="M56" s="29"/>
    </row>
    <row r="57" ht="15.6" customHeight="1" spans="1:13">
      <c r="A57" s="12"/>
      <c r="B57" s="13"/>
      <c r="C57" s="13"/>
      <c r="D57" s="13"/>
      <c r="E57" s="16"/>
      <c r="F57" s="16"/>
      <c r="G57" s="16"/>
      <c r="H57" s="16"/>
      <c r="I57" s="29"/>
      <c r="J57" s="16"/>
      <c r="K57" s="16"/>
      <c r="L57" s="16"/>
      <c r="M57" s="29"/>
    </row>
    <row r="58" ht="15.6" customHeight="1" spans="1:13">
      <c r="A58" s="12"/>
      <c r="B58" s="13"/>
      <c r="C58" s="13"/>
      <c r="D58" s="13"/>
      <c r="E58" s="16"/>
      <c r="F58" s="16"/>
      <c r="G58" s="16"/>
      <c r="H58" s="16"/>
      <c r="I58" s="29"/>
      <c r="J58" s="16"/>
      <c r="K58" s="16"/>
      <c r="L58" s="16"/>
      <c r="M58" s="29"/>
    </row>
    <row r="59" ht="15.6" customHeight="1" spans="1:13">
      <c r="A59" s="12"/>
      <c r="B59" s="13"/>
      <c r="C59" s="13"/>
      <c r="D59" s="13"/>
      <c r="E59" s="16"/>
      <c r="F59" s="16"/>
      <c r="G59" s="16"/>
      <c r="H59" s="16"/>
      <c r="I59" s="29"/>
      <c r="J59" s="16"/>
      <c r="K59" s="16"/>
      <c r="L59" s="16"/>
      <c r="M59" s="29"/>
    </row>
    <row r="60" ht="15.6" customHeight="1" spans="1:13">
      <c r="A60" s="12"/>
      <c r="B60" s="13"/>
      <c r="C60" s="13"/>
      <c r="D60" s="13"/>
      <c r="E60" s="16"/>
      <c r="F60" s="16"/>
      <c r="G60" s="16"/>
      <c r="H60" s="16"/>
      <c r="I60" s="29"/>
      <c r="J60" s="16"/>
      <c r="K60" s="16"/>
      <c r="L60" s="16"/>
      <c r="M60" s="29"/>
    </row>
    <row r="61" ht="15.6" customHeight="1" spans="1:13">
      <c r="A61" s="12"/>
      <c r="B61" s="13"/>
      <c r="C61" s="13"/>
      <c r="D61" s="13"/>
      <c r="E61" s="16"/>
      <c r="F61" s="16"/>
      <c r="G61" s="16"/>
      <c r="H61" s="16"/>
      <c r="I61" s="29"/>
      <c r="J61" s="16"/>
      <c r="K61" s="16"/>
      <c r="L61" s="16"/>
      <c r="M61" s="29"/>
    </row>
    <row r="62" ht="15.6" customHeight="1" spans="1:13">
      <c r="A62" s="12"/>
      <c r="B62" s="13"/>
      <c r="C62" s="13"/>
      <c r="D62" s="13"/>
      <c r="E62" s="16"/>
      <c r="F62" s="16"/>
      <c r="G62" s="16"/>
      <c r="H62" s="16"/>
      <c r="I62" s="29"/>
      <c r="J62" s="16"/>
      <c r="K62" s="16"/>
      <c r="L62" s="16"/>
      <c r="M62" s="29"/>
    </row>
    <row r="63" ht="15.6" customHeight="1" spans="1:13">
      <c r="A63" s="12"/>
      <c r="B63" s="13"/>
      <c r="C63" s="13"/>
      <c r="D63" s="13"/>
      <c r="E63" s="16"/>
      <c r="F63" s="16"/>
      <c r="G63" s="16"/>
      <c r="H63" s="16"/>
      <c r="I63" s="29"/>
      <c r="J63" s="16"/>
      <c r="K63" s="16"/>
      <c r="L63" s="16"/>
      <c r="M63" s="29"/>
    </row>
    <row r="64" ht="15.6" customHeight="1" spans="1:13">
      <c r="A64" s="12"/>
      <c r="B64" s="13"/>
      <c r="C64" s="13"/>
      <c r="D64" s="13"/>
      <c r="E64" s="16"/>
      <c r="F64" s="16"/>
      <c r="G64" s="16"/>
      <c r="H64" s="16"/>
      <c r="I64" s="29"/>
      <c r="J64" s="16"/>
      <c r="K64" s="16"/>
      <c r="L64" s="16"/>
      <c r="M64" s="29"/>
    </row>
    <row r="65" ht="15.6" customHeight="1" spans="1:13">
      <c r="A65" s="12"/>
      <c r="B65" s="13"/>
      <c r="C65" s="13"/>
      <c r="D65" s="13"/>
      <c r="E65" s="16"/>
      <c r="F65" s="16"/>
      <c r="G65" s="16"/>
      <c r="H65" s="16"/>
      <c r="I65" s="29"/>
      <c r="J65" s="16"/>
      <c r="K65" s="16"/>
      <c r="L65" s="16"/>
      <c r="M65" s="29"/>
    </row>
    <row r="66" ht="15.6" customHeight="1" spans="1:13">
      <c r="A66" s="12"/>
      <c r="B66" s="13"/>
      <c r="C66" s="13"/>
      <c r="D66" s="13"/>
      <c r="E66" s="16"/>
      <c r="F66" s="16"/>
      <c r="G66" s="16"/>
      <c r="H66" s="16"/>
      <c r="I66" s="29"/>
      <c r="J66" s="16"/>
      <c r="K66" s="16"/>
      <c r="L66" s="16"/>
      <c r="M66" s="29"/>
    </row>
    <row r="67" ht="15.6" customHeight="1" spans="1:13">
      <c r="A67" s="12"/>
      <c r="B67" s="13"/>
      <c r="C67" s="13"/>
      <c r="D67" s="13"/>
      <c r="E67" s="16"/>
      <c r="F67" s="16"/>
      <c r="G67" s="16"/>
      <c r="H67" s="16"/>
      <c r="I67" s="29"/>
      <c r="J67" s="16"/>
      <c r="K67" s="16"/>
      <c r="L67" s="16"/>
      <c r="M67" s="29"/>
    </row>
    <row r="68" ht="15.6" customHeight="1" spans="1:13">
      <c r="A68" s="12"/>
      <c r="B68" s="13"/>
      <c r="C68" s="13"/>
      <c r="D68" s="13"/>
      <c r="E68" s="16"/>
      <c r="F68" s="16"/>
      <c r="G68" s="16"/>
      <c r="H68" s="16"/>
      <c r="I68" s="29"/>
      <c r="J68" s="16"/>
      <c r="K68" s="16"/>
      <c r="L68" s="16"/>
      <c r="M68" s="29"/>
    </row>
    <row r="69" ht="15.6" customHeight="1" spans="1:13">
      <c r="A69" s="12"/>
      <c r="B69" s="13"/>
      <c r="C69" s="13"/>
      <c r="D69" s="13"/>
      <c r="E69" s="16"/>
      <c r="F69" s="16"/>
      <c r="G69" s="16"/>
      <c r="H69" s="16"/>
      <c r="I69" s="29"/>
      <c r="J69" s="16"/>
      <c r="K69" s="16"/>
      <c r="L69" s="16"/>
      <c r="M69" s="29"/>
    </row>
    <row r="70" ht="15.6" customHeight="1" spans="1:13">
      <c r="A70" s="12"/>
      <c r="B70" s="13"/>
      <c r="C70" s="13"/>
      <c r="D70" s="13"/>
      <c r="E70" s="16"/>
      <c r="F70" s="16"/>
      <c r="G70" s="16"/>
      <c r="H70" s="16"/>
      <c r="I70" s="29"/>
      <c r="J70" s="16"/>
      <c r="K70" s="16"/>
      <c r="L70" s="16"/>
      <c r="M70" s="29"/>
    </row>
    <row r="71" ht="15.6" customHeight="1" spans="1:13">
      <c r="A71" s="12"/>
      <c r="B71" s="13"/>
      <c r="C71" s="13"/>
      <c r="D71" s="13"/>
      <c r="E71" s="16"/>
      <c r="F71" s="16"/>
      <c r="G71" s="16"/>
      <c r="H71" s="16"/>
      <c r="I71" s="29"/>
      <c r="J71" s="16"/>
      <c r="K71" s="16"/>
      <c r="L71" s="16"/>
      <c r="M71" s="29"/>
    </row>
    <row r="72" ht="15.6" customHeight="1" spans="1:13">
      <c r="A72" s="12"/>
      <c r="B72" s="13"/>
      <c r="C72" s="13"/>
      <c r="D72" s="13"/>
      <c r="E72" s="16"/>
      <c r="F72" s="16"/>
      <c r="G72" s="16"/>
      <c r="H72" s="16"/>
      <c r="I72" s="29"/>
      <c r="J72" s="16"/>
      <c r="K72" s="16"/>
      <c r="L72" s="16"/>
      <c r="M72" s="29"/>
    </row>
    <row r="73" ht="15.6" customHeight="1" spans="1:13">
      <c r="A73" s="12"/>
      <c r="B73" s="13"/>
      <c r="C73" s="13"/>
      <c r="D73" s="13"/>
      <c r="E73" s="16"/>
      <c r="F73" s="16"/>
      <c r="G73" s="16"/>
      <c r="H73" s="16"/>
      <c r="I73" s="29"/>
      <c r="J73" s="16"/>
      <c r="K73" s="16"/>
      <c r="L73" s="16"/>
      <c r="M73" s="29"/>
    </row>
    <row r="74" ht="15.6" customHeight="1" spans="1:13">
      <c r="A74" s="12"/>
      <c r="B74" s="13"/>
      <c r="C74" s="13"/>
      <c r="D74" s="13"/>
      <c r="E74" s="16"/>
      <c r="F74" s="16"/>
      <c r="G74" s="16"/>
      <c r="H74" s="16"/>
      <c r="I74" s="29"/>
      <c r="J74" s="16"/>
      <c r="K74" s="16"/>
      <c r="L74" s="16"/>
      <c r="M74" s="29"/>
    </row>
    <row r="75" ht="15.6" customHeight="1" spans="1:13">
      <c r="A75" s="12"/>
      <c r="B75" s="13"/>
      <c r="C75" s="13"/>
      <c r="D75" s="13"/>
      <c r="E75" s="16"/>
      <c r="F75" s="16"/>
      <c r="G75" s="16"/>
      <c r="H75" s="16"/>
      <c r="I75" s="29"/>
      <c r="J75" s="16"/>
      <c r="K75" s="16"/>
      <c r="L75" s="16"/>
      <c r="M75" s="29"/>
    </row>
    <row r="76" ht="15.6" customHeight="1" spans="1:13">
      <c r="A76" s="12"/>
      <c r="B76" s="13"/>
      <c r="C76" s="13"/>
      <c r="D76" s="13"/>
      <c r="E76" s="16"/>
      <c r="F76" s="16"/>
      <c r="G76" s="16"/>
      <c r="H76" s="16"/>
      <c r="I76" s="29"/>
      <c r="J76" s="16"/>
      <c r="K76" s="16"/>
      <c r="L76" s="16"/>
      <c r="M76" s="29"/>
    </row>
    <row r="77" ht="15.6" customHeight="1" spans="1:13">
      <c r="A77" s="12"/>
      <c r="B77" s="13"/>
      <c r="C77" s="13"/>
      <c r="D77" s="13"/>
      <c r="E77" s="16"/>
      <c r="F77" s="16"/>
      <c r="G77" s="16"/>
      <c r="H77" s="16"/>
      <c r="I77" s="29"/>
      <c r="J77" s="16"/>
      <c r="K77" s="16"/>
      <c r="L77" s="16"/>
      <c r="M77" s="29"/>
    </row>
    <row r="78" ht="15.6" customHeight="1" spans="1:13">
      <c r="A78" s="12"/>
      <c r="B78" s="13"/>
      <c r="C78" s="13"/>
      <c r="D78" s="13"/>
      <c r="E78" s="16"/>
      <c r="F78" s="16"/>
      <c r="G78" s="16"/>
      <c r="H78" s="16"/>
      <c r="I78" s="29"/>
      <c r="J78" s="16"/>
      <c r="K78" s="16"/>
      <c r="L78" s="16"/>
      <c r="M78" s="29"/>
    </row>
    <row r="79" ht="15.6" customHeight="1" spans="1:13">
      <c r="A79" s="12"/>
      <c r="B79" s="13"/>
      <c r="C79" s="13"/>
      <c r="D79" s="13"/>
      <c r="E79" s="16"/>
      <c r="F79" s="16"/>
      <c r="G79" s="16"/>
      <c r="H79" s="16"/>
      <c r="I79" s="29"/>
      <c r="J79" s="16"/>
      <c r="K79" s="16"/>
      <c r="L79" s="16"/>
      <c r="M79" s="29"/>
    </row>
    <row r="80" ht="15.6" customHeight="1" spans="1:13">
      <c r="A80" s="12"/>
      <c r="B80" s="13"/>
      <c r="C80" s="13"/>
      <c r="D80" s="13"/>
      <c r="E80" s="16"/>
      <c r="F80" s="16"/>
      <c r="G80" s="16"/>
      <c r="H80" s="16"/>
      <c r="I80" s="29"/>
      <c r="J80" s="16"/>
      <c r="K80" s="16"/>
      <c r="L80" s="16"/>
      <c r="M80" s="29"/>
    </row>
    <row r="81" ht="15.6" customHeight="1" spans="1:13">
      <c r="A81" s="12"/>
      <c r="B81" s="13"/>
      <c r="C81" s="13"/>
      <c r="D81" s="13"/>
      <c r="E81" s="16"/>
      <c r="F81" s="16"/>
      <c r="G81" s="16"/>
      <c r="H81" s="16"/>
      <c r="I81" s="29"/>
      <c r="J81" s="16"/>
      <c r="K81" s="16"/>
      <c r="L81" s="16"/>
      <c r="M81" s="29"/>
    </row>
    <row r="82" ht="15.6" customHeight="1" spans="1:13">
      <c r="A82" s="12"/>
      <c r="B82" s="13"/>
      <c r="C82" s="13"/>
      <c r="D82" s="13"/>
      <c r="E82" s="16"/>
      <c r="F82" s="16"/>
      <c r="G82" s="16"/>
      <c r="H82" s="16"/>
      <c r="I82" s="29"/>
      <c r="J82" s="16"/>
      <c r="K82" s="16"/>
      <c r="L82" s="16"/>
      <c r="M82" s="29"/>
    </row>
    <row r="83" ht="15.6" customHeight="1" spans="1:13">
      <c r="A83" s="12"/>
      <c r="B83" s="13"/>
      <c r="C83" s="13"/>
      <c r="D83" s="13"/>
      <c r="E83" s="16"/>
      <c r="F83" s="16"/>
      <c r="G83" s="16"/>
      <c r="H83" s="16"/>
      <c r="I83" s="29"/>
      <c r="J83" s="16"/>
      <c r="K83" s="16"/>
      <c r="L83" s="16"/>
      <c r="M83" s="29"/>
    </row>
    <row r="84" ht="15.6" customHeight="1" spans="1:13">
      <c r="A84" s="12"/>
      <c r="B84" s="13"/>
      <c r="C84" s="13"/>
      <c r="D84" s="13"/>
      <c r="E84" s="16"/>
      <c r="F84" s="16"/>
      <c r="G84" s="16"/>
      <c r="H84" s="16"/>
      <c r="I84" s="29"/>
      <c r="J84" s="16"/>
      <c r="K84" s="16"/>
      <c r="L84" s="16"/>
      <c r="M84" s="29"/>
    </row>
    <row r="85" ht="15.6" customHeight="1" spans="1:13">
      <c r="A85" s="12"/>
      <c r="B85" s="13"/>
      <c r="C85" s="13"/>
      <c r="D85" s="13"/>
      <c r="E85" s="16"/>
      <c r="F85" s="16"/>
      <c r="G85" s="16"/>
      <c r="H85" s="16"/>
      <c r="I85" s="29"/>
      <c r="J85" s="16"/>
      <c r="K85" s="16"/>
      <c r="L85" s="16"/>
      <c r="M85" s="29"/>
    </row>
    <row r="86" ht="15.6" customHeight="1" spans="1:13">
      <c r="A86" s="12"/>
      <c r="B86" s="13"/>
      <c r="C86" s="13"/>
      <c r="D86" s="13"/>
      <c r="E86" s="16"/>
      <c r="F86" s="16"/>
      <c r="G86" s="16"/>
      <c r="H86" s="16"/>
      <c r="I86" s="29"/>
      <c r="J86" s="16"/>
      <c r="K86" s="16"/>
      <c r="L86" s="16"/>
      <c r="M86" s="29"/>
    </row>
    <row r="87" ht="15.6" customHeight="1" spans="1:13">
      <c r="A87" s="12"/>
      <c r="B87" s="13"/>
      <c r="C87" s="13"/>
      <c r="D87" s="13"/>
      <c r="E87" s="16"/>
      <c r="F87" s="16"/>
      <c r="G87" s="16"/>
      <c r="H87" s="16"/>
      <c r="I87" s="29"/>
      <c r="J87" s="16"/>
      <c r="K87" s="16"/>
      <c r="L87" s="16"/>
      <c r="M87" s="29"/>
    </row>
    <row r="88" ht="15.6" customHeight="1" spans="1:13">
      <c r="A88" s="12"/>
      <c r="B88" s="13"/>
      <c r="C88" s="13"/>
      <c r="D88" s="13"/>
      <c r="E88" s="16"/>
      <c r="F88" s="16"/>
      <c r="G88" s="16"/>
      <c r="H88" s="16"/>
      <c r="I88" s="29"/>
      <c r="J88" s="16"/>
      <c r="K88" s="16"/>
      <c r="L88" s="16"/>
      <c r="M88" s="29"/>
    </row>
    <row r="89" ht="15.6" customHeight="1" spans="1:13">
      <c r="A89" s="12"/>
      <c r="B89" s="13"/>
      <c r="C89" s="13"/>
      <c r="D89" s="13"/>
      <c r="E89" s="16"/>
      <c r="F89" s="16"/>
      <c r="G89" s="16"/>
      <c r="H89" s="16"/>
      <c r="I89" s="29"/>
      <c r="J89" s="16"/>
      <c r="K89" s="16"/>
      <c r="L89" s="16"/>
      <c r="M89" s="29"/>
    </row>
    <row r="90" ht="15.6" customHeight="1" spans="1:13">
      <c r="A90" s="12"/>
      <c r="B90" s="13"/>
      <c r="C90" s="13"/>
      <c r="D90" s="13"/>
      <c r="E90" s="16"/>
      <c r="F90" s="16"/>
      <c r="G90" s="16"/>
      <c r="H90" s="16"/>
      <c r="I90" s="29"/>
      <c r="J90" s="16"/>
      <c r="K90" s="16"/>
      <c r="L90" s="16"/>
      <c r="M90" s="29"/>
    </row>
    <row r="91" ht="15.6" customHeight="1" spans="1:13">
      <c r="A91" s="12"/>
      <c r="B91" s="13"/>
      <c r="C91" s="13"/>
      <c r="D91" s="13"/>
      <c r="E91" s="16"/>
      <c r="F91" s="16"/>
      <c r="G91" s="16"/>
      <c r="H91" s="16"/>
      <c r="I91" s="29"/>
      <c r="J91" s="16"/>
      <c r="K91" s="16"/>
      <c r="L91" s="16"/>
      <c r="M91" s="29"/>
    </row>
    <row r="92" ht="15.6" customHeight="1" spans="1:13">
      <c r="A92" s="12"/>
      <c r="B92" s="13"/>
      <c r="C92" s="13"/>
      <c r="D92" s="13"/>
      <c r="E92" s="16"/>
      <c r="F92" s="16"/>
      <c r="G92" s="16"/>
      <c r="H92" s="16"/>
      <c r="I92" s="29"/>
      <c r="J92" s="16"/>
      <c r="K92" s="16"/>
      <c r="L92" s="16"/>
      <c r="M92" s="29"/>
    </row>
    <row r="93" ht="15.6" customHeight="1" spans="1:13">
      <c r="A93" s="12"/>
      <c r="B93" s="13"/>
      <c r="C93" s="13"/>
      <c r="D93" s="13"/>
      <c r="E93" s="16"/>
      <c r="F93" s="16"/>
      <c r="G93" s="16"/>
      <c r="H93" s="16"/>
      <c r="I93" s="29"/>
      <c r="J93" s="16"/>
      <c r="K93" s="16"/>
      <c r="L93" s="16"/>
      <c r="M93" s="29"/>
    </row>
    <row r="94" ht="15.6" customHeight="1" spans="1:13">
      <c r="A94" s="12"/>
      <c r="B94" s="13"/>
      <c r="C94" s="13"/>
      <c r="D94" s="13"/>
      <c r="E94" s="16"/>
      <c r="F94" s="16"/>
      <c r="G94" s="16"/>
      <c r="H94" s="16"/>
      <c r="I94" s="29"/>
      <c r="J94" s="16"/>
      <c r="K94" s="16"/>
      <c r="L94" s="16"/>
      <c r="M94" s="29"/>
    </row>
    <row r="95" ht="15.6" customHeight="1" spans="1:13">
      <c r="A95" s="12"/>
      <c r="B95" s="13"/>
      <c r="C95" s="13"/>
      <c r="D95" s="13"/>
      <c r="E95" s="16"/>
      <c r="F95" s="16"/>
      <c r="G95" s="16"/>
      <c r="H95" s="16"/>
      <c r="I95" s="29"/>
      <c r="J95" s="16"/>
      <c r="K95" s="16"/>
      <c r="L95" s="16"/>
      <c r="M95" s="29"/>
    </row>
    <row r="96" ht="15.6" customHeight="1" spans="1:13">
      <c r="A96" s="12"/>
      <c r="B96" s="13"/>
      <c r="C96" s="13"/>
      <c r="D96" s="13"/>
      <c r="E96" s="16"/>
      <c r="F96" s="16"/>
      <c r="G96" s="16"/>
      <c r="H96" s="16"/>
      <c r="I96" s="29"/>
      <c r="J96" s="16"/>
      <c r="K96" s="16"/>
      <c r="L96" s="16"/>
      <c r="M96" s="29"/>
    </row>
    <row r="97" ht="15.6" customHeight="1" spans="1:13">
      <c r="A97" s="12"/>
      <c r="B97" s="13"/>
      <c r="C97" s="13"/>
      <c r="D97" s="13"/>
      <c r="E97" s="16"/>
      <c r="F97" s="16"/>
      <c r="G97" s="16"/>
      <c r="H97" s="16"/>
      <c r="I97" s="29"/>
      <c r="J97" s="16"/>
      <c r="K97" s="16"/>
      <c r="L97" s="16"/>
      <c r="M97" s="29"/>
    </row>
    <row r="98" ht="15.6" customHeight="1" spans="1:13">
      <c r="A98" s="12"/>
      <c r="B98" s="13"/>
      <c r="C98" s="13"/>
      <c r="D98" s="13"/>
      <c r="E98" s="16"/>
      <c r="F98" s="16"/>
      <c r="G98" s="16"/>
      <c r="H98" s="16"/>
      <c r="I98" s="29"/>
      <c r="J98" s="16"/>
      <c r="K98" s="16"/>
      <c r="L98" s="16"/>
      <c r="M98" s="29"/>
    </row>
    <row r="99" ht="15.6" customHeight="1" spans="1:13">
      <c r="A99" s="12"/>
      <c r="B99" s="13"/>
      <c r="C99" s="13"/>
      <c r="D99" s="13"/>
      <c r="E99" s="16"/>
      <c r="F99" s="16"/>
      <c r="G99" s="16"/>
      <c r="H99" s="16"/>
      <c r="I99" s="29"/>
      <c r="J99" s="16"/>
      <c r="K99" s="16"/>
      <c r="L99" s="16"/>
      <c r="M99" s="29"/>
    </row>
    <row r="100" ht="15.6" customHeight="1" spans="1:13">
      <c r="A100" s="12"/>
      <c r="B100" s="13"/>
      <c r="C100" s="13"/>
      <c r="D100" s="13"/>
      <c r="E100" s="16"/>
      <c r="F100" s="16"/>
      <c r="G100" s="16"/>
      <c r="H100" s="16"/>
      <c r="I100" s="29"/>
      <c r="J100" s="16"/>
      <c r="K100" s="16"/>
      <c r="L100" s="16"/>
      <c r="M100" s="29"/>
    </row>
  </sheetData>
  <mergeCells count="4">
    <mergeCell ref="A1:B1"/>
    <mergeCell ref="C1:E1"/>
    <mergeCell ref="F1:I1"/>
    <mergeCell ref="J1:K1"/>
  </mergeCells>
  <conditionalFormatting sqref="A3:E100 J3:M100">
    <cfRule type="expression" dxfId="0" priority="2">
      <formula>MOD(ROW(),2)=0</formula>
    </cfRule>
  </conditionalFormatting>
  <conditionalFormatting sqref="F3:I100">
    <cfRule type="expression" dxfId="0" priority="1">
      <formula>MOD(ROW(),2)=0</formula>
    </cfRule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W100"/>
  <sheetViews>
    <sheetView workbookViewId="0">
      <selection activeCell="N1" sqref="N1:W4"/>
    </sheetView>
  </sheetViews>
  <sheetFormatPr defaultColWidth="9" defaultRowHeight="14.4"/>
  <cols>
    <col min="12" max="12" width="9.44444444444444" customWidth="1"/>
  </cols>
  <sheetData>
    <row r="1" ht="31.2" customHeight="1" spans="1:23">
      <c r="A1" s="1" t="s">
        <v>0</v>
      </c>
      <c r="B1" s="2"/>
      <c r="C1" s="3" t="s">
        <v>1</v>
      </c>
      <c r="D1" s="4"/>
      <c r="E1" s="5"/>
      <c r="F1" s="6" t="s">
        <v>2</v>
      </c>
      <c r="G1" s="7"/>
      <c r="H1" s="7"/>
      <c r="I1" s="2"/>
      <c r="J1" s="17" t="s">
        <v>3</v>
      </c>
      <c r="K1" s="2"/>
      <c r="L1" s="18" t="s">
        <v>4</v>
      </c>
      <c r="M1" s="19" t="s">
        <v>5</v>
      </c>
      <c r="N1" s="20" t="s">
        <v>6</v>
      </c>
      <c r="O1" s="21" t="s">
        <v>7</v>
      </c>
      <c r="P1" s="21" t="s">
        <v>8</v>
      </c>
      <c r="Q1" s="21" t="s">
        <v>9</v>
      </c>
      <c r="R1" s="30" t="s">
        <v>10</v>
      </c>
      <c r="S1" s="31" t="s">
        <v>11</v>
      </c>
      <c r="T1" s="32" t="s">
        <v>12</v>
      </c>
      <c r="U1" s="32" t="s">
        <v>13</v>
      </c>
      <c r="V1" s="32" t="s">
        <v>14</v>
      </c>
      <c r="W1" s="33" t="s">
        <v>15</v>
      </c>
    </row>
    <row r="2" ht="47.55" customHeight="1" spans="1:23">
      <c r="A2" s="8" t="s">
        <v>16</v>
      </c>
      <c r="B2" s="9" t="s">
        <v>17</v>
      </c>
      <c r="C2" s="10" t="s">
        <v>18</v>
      </c>
      <c r="D2" s="10" t="s">
        <v>19</v>
      </c>
      <c r="E2" s="10" t="s">
        <v>20</v>
      </c>
      <c r="F2" s="11" t="s">
        <v>21</v>
      </c>
      <c r="G2" s="11" t="s">
        <v>22</v>
      </c>
      <c r="H2" s="11" t="s">
        <v>23</v>
      </c>
      <c r="I2" s="11" t="s">
        <v>24</v>
      </c>
      <c r="J2" s="22" t="s">
        <v>25</v>
      </c>
      <c r="K2" s="22" t="s">
        <v>26</v>
      </c>
      <c r="L2" s="23" t="s">
        <v>27</v>
      </c>
      <c r="M2" s="24" t="s">
        <v>28</v>
      </c>
      <c r="N2" s="25">
        <f>QUARTILE(F3:F200,4)</f>
        <v>0.0346</v>
      </c>
      <c r="O2" s="26">
        <f>QUARTILE(F3:F200,3)</f>
        <v>0.005775</v>
      </c>
      <c r="P2" s="26">
        <f>QUARTILE(F3:F200,2)</f>
        <v>-0.001</v>
      </c>
      <c r="Q2" s="26">
        <f>QUARTILE(F3:F200,1)</f>
        <v>-0.00525</v>
      </c>
      <c r="R2" s="34">
        <f>QUARTILE(F3:F200,0)</f>
        <v>-0.0578</v>
      </c>
      <c r="S2" s="25">
        <f>QUARTILE(H3:H200,4)</f>
        <v>0.185</v>
      </c>
      <c r="T2" s="26">
        <f>QUARTILE(H3:H200,3)</f>
        <v>0.0624</v>
      </c>
      <c r="U2" s="26">
        <f>QUARTILE(H3:H200,2)</f>
        <v>0.0266</v>
      </c>
      <c r="V2" s="26">
        <f>QUARTILE(H3:H200,1)</f>
        <v>-0.00035</v>
      </c>
      <c r="W2" s="34">
        <f>QUARTILE(H3:H200,0)</f>
        <v>-0.1191</v>
      </c>
    </row>
    <row r="3" ht="15.6" customHeight="1" spans="1:13">
      <c r="A3" s="12" t="s">
        <v>380</v>
      </c>
      <c r="B3" s="13" t="s">
        <v>30</v>
      </c>
      <c r="C3" s="14" t="s">
        <v>1088</v>
      </c>
      <c r="D3" s="14" t="s">
        <v>1089</v>
      </c>
      <c r="E3" s="15" t="s">
        <v>1090</v>
      </c>
      <c r="F3" s="16">
        <v>0.0346</v>
      </c>
      <c r="G3" s="16">
        <v>0.0152</v>
      </c>
      <c r="H3" s="16">
        <v>0.0885</v>
      </c>
      <c r="I3" s="27">
        <v>0.0303</v>
      </c>
      <c r="J3" s="16">
        <v>0.0847</v>
      </c>
      <c r="K3" s="16">
        <v>0.0847</v>
      </c>
      <c r="L3" s="16">
        <v>0.1187</v>
      </c>
      <c r="M3" s="29">
        <v>0.0871</v>
      </c>
    </row>
    <row r="4" ht="15.6" customHeight="1" spans="1:13">
      <c r="A4" s="12" t="s">
        <v>538</v>
      </c>
      <c r="B4" s="13" t="s">
        <v>61</v>
      </c>
      <c r="C4" s="13" t="s">
        <v>1091</v>
      </c>
      <c r="D4" s="13" t="s">
        <v>1089</v>
      </c>
      <c r="E4" s="16" t="s">
        <v>1092</v>
      </c>
      <c r="F4" s="16">
        <v>0.0312</v>
      </c>
      <c r="G4" s="16">
        <v>-0.0146</v>
      </c>
      <c r="H4" s="16">
        <v>0.0436</v>
      </c>
      <c r="I4" s="27">
        <v>0.0794</v>
      </c>
      <c r="J4" s="16">
        <v>0.0559</v>
      </c>
      <c r="K4" s="16">
        <v>0.0658</v>
      </c>
      <c r="L4" s="16">
        <v>0.0866</v>
      </c>
      <c r="M4" s="29">
        <v>0.6859</v>
      </c>
    </row>
    <row r="5" ht="15.6" customHeight="1" spans="1:13">
      <c r="A5" s="12" t="s">
        <v>1093</v>
      </c>
      <c r="B5" s="13" t="s">
        <v>38</v>
      </c>
      <c r="C5" s="13" t="s">
        <v>1094</v>
      </c>
      <c r="D5" s="13" t="s">
        <v>1089</v>
      </c>
      <c r="E5" s="16" t="s">
        <v>1039</v>
      </c>
      <c r="F5" s="16">
        <v>0.0248</v>
      </c>
      <c r="G5" s="16">
        <v>-0.0038</v>
      </c>
      <c r="H5" s="16">
        <v>-0.0227</v>
      </c>
      <c r="I5" s="27">
        <v>0.0338</v>
      </c>
      <c r="J5" s="16">
        <v>0.0551</v>
      </c>
      <c r="K5" s="16">
        <v>0.1155</v>
      </c>
      <c r="L5" s="16">
        <v>0.0569</v>
      </c>
      <c r="M5" s="29">
        <v>0.2422</v>
      </c>
    </row>
    <row r="6" ht="15.6" customHeight="1" spans="1:13">
      <c r="A6" s="12" t="s">
        <v>563</v>
      </c>
      <c r="B6" s="13" t="s">
        <v>54</v>
      </c>
      <c r="C6" s="13" t="s">
        <v>1095</v>
      </c>
      <c r="D6" s="13" t="s">
        <v>1089</v>
      </c>
      <c r="E6" s="16" t="s">
        <v>1096</v>
      </c>
      <c r="F6" s="16">
        <v>0.024</v>
      </c>
      <c r="G6" s="16">
        <v>0.0077</v>
      </c>
      <c r="H6" s="16">
        <v>-0.0027</v>
      </c>
      <c r="I6" s="27">
        <v>-0.003</v>
      </c>
      <c r="J6" s="16">
        <v>0.036</v>
      </c>
      <c r="K6" s="16">
        <v>0.036</v>
      </c>
      <c r="L6" s="16">
        <v>0.075</v>
      </c>
      <c r="M6" s="29">
        <v>-0.3067</v>
      </c>
    </row>
    <row r="7" ht="15.6" customHeight="1" spans="1:13">
      <c r="A7" s="12" t="s">
        <v>291</v>
      </c>
      <c r="B7" s="13" t="s">
        <v>217</v>
      </c>
      <c r="C7" s="13" t="s">
        <v>1097</v>
      </c>
      <c r="D7" s="13" t="s">
        <v>1089</v>
      </c>
      <c r="E7" s="16" t="s">
        <v>1098</v>
      </c>
      <c r="F7" s="16">
        <v>0.0238</v>
      </c>
      <c r="G7" s="16">
        <v>-0.0171</v>
      </c>
      <c r="H7" s="16">
        <v>-0.0302</v>
      </c>
      <c r="I7" s="27">
        <v>0.0676</v>
      </c>
      <c r="J7" s="16">
        <v>0.0781</v>
      </c>
      <c r="K7" s="16">
        <v>0.0995</v>
      </c>
      <c r="L7" s="16">
        <v>0.0741</v>
      </c>
      <c r="M7" s="29">
        <v>0.6433</v>
      </c>
    </row>
    <row r="8" ht="15.6" customHeight="1" spans="1:13">
      <c r="A8" s="12" t="s">
        <v>541</v>
      </c>
      <c r="B8" s="13" t="s">
        <v>217</v>
      </c>
      <c r="C8" s="13" t="s">
        <v>1099</v>
      </c>
      <c r="D8" s="13" t="s">
        <v>1089</v>
      </c>
      <c r="E8" s="16" t="s">
        <v>969</v>
      </c>
      <c r="F8" s="16">
        <v>0.0225</v>
      </c>
      <c r="G8" s="16">
        <v>0.0179</v>
      </c>
      <c r="H8" s="16">
        <v>0.0202</v>
      </c>
      <c r="I8" s="27">
        <v>0.0932</v>
      </c>
      <c r="J8" s="16">
        <v>0.0957</v>
      </c>
      <c r="K8" s="16">
        <v>0.0957</v>
      </c>
      <c r="L8" s="16">
        <v>0.088</v>
      </c>
      <c r="M8" s="29">
        <v>0.8316</v>
      </c>
    </row>
    <row r="9" ht="15.6" customHeight="1" spans="1:13">
      <c r="A9" s="12" t="s">
        <v>1100</v>
      </c>
      <c r="B9" s="13" t="s">
        <v>38</v>
      </c>
      <c r="C9" s="13" t="s">
        <v>1101</v>
      </c>
      <c r="D9" s="13" t="s">
        <v>1089</v>
      </c>
      <c r="E9" s="16" t="s">
        <v>1102</v>
      </c>
      <c r="F9" s="16">
        <v>0.0209</v>
      </c>
      <c r="G9" s="16">
        <v>0.001</v>
      </c>
      <c r="H9" s="16">
        <v>-0.0922</v>
      </c>
      <c r="I9" s="27">
        <v>-0.0648</v>
      </c>
      <c r="J9" s="16">
        <v>0.1155</v>
      </c>
      <c r="K9" s="16">
        <v>0.1578</v>
      </c>
      <c r="L9" s="16">
        <v>0.078</v>
      </c>
      <c r="M9" s="29">
        <v>-1.0876</v>
      </c>
    </row>
    <row r="10" ht="15.6" customHeight="1" spans="1:13">
      <c r="A10" s="12" t="s">
        <v>304</v>
      </c>
      <c r="B10" s="13" t="s">
        <v>54</v>
      </c>
      <c r="C10" s="13" t="s">
        <v>1103</v>
      </c>
      <c r="D10" s="13" t="s">
        <v>1089</v>
      </c>
      <c r="E10" s="16" t="s">
        <v>1104</v>
      </c>
      <c r="F10" s="16">
        <v>0.0192</v>
      </c>
      <c r="G10" s="16">
        <v>-0.0144</v>
      </c>
      <c r="H10" s="16">
        <v>-0.0341</v>
      </c>
      <c r="I10" s="27">
        <v>0.0616</v>
      </c>
      <c r="J10" s="16">
        <v>0.0763</v>
      </c>
      <c r="K10" s="16">
        <v>0.1135</v>
      </c>
      <c r="L10" s="16">
        <v>0.0693</v>
      </c>
      <c r="M10" s="29">
        <v>0.6002</v>
      </c>
    </row>
    <row r="11" ht="15.6" customHeight="1" spans="1:13">
      <c r="A11" s="12" t="s">
        <v>285</v>
      </c>
      <c r="B11" s="13" t="s">
        <v>61</v>
      </c>
      <c r="C11" s="13" t="s">
        <v>1105</v>
      </c>
      <c r="D11" s="13" t="s">
        <v>1089</v>
      </c>
      <c r="E11" s="16" t="s">
        <v>1106</v>
      </c>
      <c r="F11" s="16">
        <v>0.0156</v>
      </c>
      <c r="G11" s="16">
        <v>0.015</v>
      </c>
      <c r="H11" s="16">
        <v>0.0918</v>
      </c>
      <c r="I11" s="27">
        <v>0.0196</v>
      </c>
      <c r="J11" s="16">
        <v>0.0093</v>
      </c>
      <c r="K11" s="16">
        <v>0.0739</v>
      </c>
      <c r="L11" s="16">
        <v>0.0487</v>
      </c>
      <c r="M11" s="29">
        <v>-0.008</v>
      </c>
    </row>
    <row r="12" ht="15.6" customHeight="1" spans="1:13">
      <c r="A12" s="12" t="s">
        <v>282</v>
      </c>
      <c r="B12" s="13" t="s">
        <v>156</v>
      </c>
      <c r="C12" s="13" t="s">
        <v>1107</v>
      </c>
      <c r="D12" s="13" t="s">
        <v>1089</v>
      </c>
      <c r="E12" s="16" t="s">
        <v>1108</v>
      </c>
      <c r="F12" s="16">
        <v>0.0133</v>
      </c>
      <c r="G12" s="16">
        <v>-0.0174</v>
      </c>
      <c r="H12" s="16">
        <v>0.062</v>
      </c>
      <c r="I12" s="27">
        <v>0.1788</v>
      </c>
      <c r="J12" s="16">
        <v>0.0589</v>
      </c>
      <c r="K12" s="16">
        <v>0.1004</v>
      </c>
      <c r="L12" s="16">
        <v>0.1473</v>
      </c>
      <c r="M12" s="29">
        <v>1.078</v>
      </c>
    </row>
    <row r="13" ht="15.6" customHeight="1" spans="1:13">
      <c r="A13" s="12" t="s">
        <v>1109</v>
      </c>
      <c r="B13" s="13" t="s">
        <v>38</v>
      </c>
      <c r="C13" s="13" t="s">
        <v>1110</v>
      </c>
      <c r="D13" s="13" t="s">
        <v>1089</v>
      </c>
      <c r="E13" s="16" t="s">
        <v>1111</v>
      </c>
      <c r="F13" s="16">
        <v>0.012</v>
      </c>
      <c r="G13" s="16">
        <v>-0.0117</v>
      </c>
      <c r="H13" s="16">
        <v>-0.001</v>
      </c>
      <c r="I13" s="27">
        <v>0.0773</v>
      </c>
      <c r="J13" s="16">
        <v>0.0556</v>
      </c>
      <c r="K13" s="16">
        <v>0.0556</v>
      </c>
      <c r="L13" s="16">
        <v>0.0646</v>
      </c>
      <c r="M13" s="29">
        <v>0.8868</v>
      </c>
    </row>
    <row r="14" ht="15.6" customHeight="1" spans="1:13">
      <c r="A14" s="12" t="s">
        <v>1043</v>
      </c>
      <c r="B14" s="13" t="s">
        <v>30</v>
      </c>
      <c r="C14" s="13" t="s">
        <v>1112</v>
      </c>
      <c r="D14" s="13" t="s">
        <v>1089</v>
      </c>
      <c r="E14" s="16" t="s">
        <v>955</v>
      </c>
      <c r="F14" s="16">
        <v>0.0114</v>
      </c>
      <c r="G14" s="16">
        <v>-0.0317</v>
      </c>
      <c r="H14" s="16">
        <v>0.0219</v>
      </c>
      <c r="I14" s="27">
        <v>0.0977</v>
      </c>
      <c r="J14" s="16">
        <v>0.0939</v>
      </c>
      <c r="K14" s="16">
        <v>0.0939</v>
      </c>
      <c r="L14" s="16">
        <v>0.1229</v>
      </c>
      <c r="M14" s="29">
        <v>0.6324</v>
      </c>
    </row>
    <row r="15" ht="15.6" customHeight="1" spans="1:13">
      <c r="A15" s="12" t="s">
        <v>97</v>
      </c>
      <c r="B15" s="13" t="s">
        <v>30</v>
      </c>
      <c r="C15" s="13" t="s">
        <v>1113</v>
      </c>
      <c r="D15" s="13" t="s">
        <v>1089</v>
      </c>
      <c r="E15" s="16" t="s">
        <v>1114</v>
      </c>
      <c r="F15" s="16">
        <v>0.0109</v>
      </c>
      <c r="G15" s="16">
        <v>-0.0594</v>
      </c>
      <c r="H15" s="16">
        <v>-0.0445</v>
      </c>
      <c r="I15" s="27">
        <v>-0.0332</v>
      </c>
      <c r="J15" s="16">
        <v>0.08</v>
      </c>
      <c r="K15" s="16">
        <v>0.1269</v>
      </c>
      <c r="L15" s="16">
        <v>0.0731</v>
      </c>
      <c r="M15" s="29">
        <v>-0.7278</v>
      </c>
    </row>
    <row r="16" ht="15.6" customHeight="1" spans="1:13">
      <c r="A16" s="12" t="s">
        <v>362</v>
      </c>
      <c r="B16" s="13" t="s">
        <v>38</v>
      </c>
      <c r="C16" s="13" t="s">
        <v>1115</v>
      </c>
      <c r="D16" s="13" t="s">
        <v>1089</v>
      </c>
      <c r="E16" s="16" t="s">
        <v>1116</v>
      </c>
      <c r="F16" s="16">
        <v>0.0105</v>
      </c>
      <c r="G16" s="16">
        <v>0.0521</v>
      </c>
      <c r="H16" s="16">
        <v>0.052</v>
      </c>
      <c r="I16" s="27">
        <v>0.0662</v>
      </c>
      <c r="J16" s="16">
        <v>0.1704</v>
      </c>
      <c r="K16" s="16">
        <v>0.1704</v>
      </c>
      <c r="L16" s="16">
        <v>0.2625</v>
      </c>
      <c r="M16" s="29">
        <v>0.1758</v>
      </c>
    </row>
    <row r="17" ht="15.6" customHeight="1" spans="1:13">
      <c r="A17" s="12" t="s">
        <v>1117</v>
      </c>
      <c r="B17" s="13" t="s">
        <v>30</v>
      </c>
      <c r="C17" s="13" t="s">
        <v>1118</v>
      </c>
      <c r="D17" s="13" t="s">
        <v>1089</v>
      </c>
      <c r="E17" s="16" t="s">
        <v>742</v>
      </c>
      <c r="F17" s="16">
        <v>0.0105</v>
      </c>
      <c r="G17" s="16">
        <v>-0.0201</v>
      </c>
      <c r="H17" s="16">
        <v>-0.0357</v>
      </c>
      <c r="I17" s="27">
        <v>0.0043</v>
      </c>
      <c r="J17" s="16">
        <v>0.0584</v>
      </c>
      <c r="K17" s="16">
        <v>0.2975</v>
      </c>
      <c r="L17" s="16">
        <v>0.1046</v>
      </c>
      <c r="M17" s="29">
        <v>-0.1501</v>
      </c>
    </row>
    <row r="18" ht="15.6" customHeight="1" spans="1:13">
      <c r="A18" s="12" t="s">
        <v>415</v>
      </c>
      <c r="B18" s="13" t="s">
        <v>38</v>
      </c>
      <c r="C18" s="13" t="s">
        <v>1119</v>
      </c>
      <c r="D18" s="13" t="s">
        <v>1089</v>
      </c>
      <c r="E18" s="16" t="s">
        <v>1120</v>
      </c>
      <c r="F18" s="16">
        <v>0.0077</v>
      </c>
      <c r="G18" s="16">
        <v>0.0062</v>
      </c>
      <c r="H18" s="16">
        <v>0.0842</v>
      </c>
      <c r="I18" s="27">
        <v>0.0856</v>
      </c>
      <c r="J18" s="16">
        <v>0.0157</v>
      </c>
      <c r="K18" s="16">
        <v>0.0261</v>
      </c>
      <c r="L18" s="16">
        <v>0.0387</v>
      </c>
      <c r="M18" s="29">
        <v>1.6943</v>
      </c>
    </row>
    <row r="19" ht="15.6" customHeight="1" spans="1:13">
      <c r="A19" s="12" t="s">
        <v>560</v>
      </c>
      <c r="B19" s="13" t="s">
        <v>54</v>
      </c>
      <c r="C19" s="13" t="s">
        <v>1121</v>
      </c>
      <c r="D19" s="13" t="s">
        <v>1089</v>
      </c>
      <c r="E19" s="16" t="s">
        <v>1122</v>
      </c>
      <c r="F19" s="16">
        <v>0.0075</v>
      </c>
      <c r="G19" s="16">
        <v>0.0245</v>
      </c>
      <c r="H19" s="16">
        <v>0.0853</v>
      </c>
      <c r="I19" s="27">
        <v>0.1157</v>
      </c>
      <c r="J19" s="16">
        <v>0.0057</v>
      </c>
      <c r="K19" s="16">
        <v>0.014</v>
      </c>
      <c r="L19" s="16">
        <v>0.0358</v>
      </c>
      <c r="M19" s="29">
        <v>2.675</v>
      </c>
    </row>
    <row r="20" ht="15.6" customHeight="1" spans="1:13">
      <c r="A20" s="12" t="s">
        <v>560</v>
      </c>
      <c r="B20" s="13" t="s">
        <v>54</v>
      </c>
      <c r="C20" s="13" t="s">
        <v>1123</v>
      </c>
      <c r="D20" s="13" t="s">
        <v>1124</v>
      </c>
      <c r="E20" s="16" t="s">
        <v>1125</v>
      </c>
      <c r="F20" s="16">
        <v>0.007</v>
      </c>
      <c r="G20" s="16">
        <v>0.0166</v>
      </c>
      <c r="H20" s="16">
        <v>0.0597</v>
      </c>
      <c r="I20" s="27">
        <v>0.113</v>
      </c>
      <c r="J20" s="16">
        <v>0.0017</v>
      </c>
      <c r="K20" s="16">
        <v>0.0048</v>
      </c>
      <c r="L20" s="16">
        <v>0.0175</v>
      </c>
      <c r="M20" s="29">
        <v>5.3041</v>
      </c>
    </row>
    <row r="21" ht="15.6" customHeight="1" spans="1:13">
      <c r="A21" s="12" t="s">
        <v>1126</v>
      </c>
      <c r="B21" s="13" t="s">
        <v>30</v>
      </c>
      <c r="C21" s="13" t="s">
        <v>1127</v>
      </c>
      <c r="D21" s="13" t="s">
        <v>1089</v>
      </c>
      <c r="E21" s="16" t="s">
        <v>1128</v>
      </c>
      <c r="F21" s="16">
        <v>0.0068</v>
      </c>
      <c r="G21" s="16">
        <v>0.0172</v>
      </c>
      <c r="H21" s="16">
        <v>0.0561</v>
      </c>
      <c r="I21" s="27">
        <v>0.0724</v>
      </c>
      <c r="J21" s="16">
        <v>0.0059</v>
      </c>
      <c r="K21" s="16">
        <v>0.0461</v>
      </c>
      <c r="L21" s="16">
        <v>0.0491</v>
      </c>
      <c r="M21" s="29">
        <v>1.0669</v>
      </c>
    </row>
    <row r="22" ht="15.6" customHeight="1" spans="1:13">
      <c r="A22" s="12" t="s">
        <v>1129</v>
      </c>
      <c r="B22" s="13" t="s">
        <v>30</v>
      </c>
      <c r="C22" s="13" t="s">
        <v>1130</v>
      </c>
      <c r="D22" s="13" t="s">
        <v>1089</v>
      </c>
      <c r="E22" s="16" t="s">
        <v>1131</v>
      </c>
      <c r="F22" s="16">
        <v>0.0063</v>
      </c>
      <c r="G22" s="16">
        <v>-0.0075</v>
      </c>
      <c r="H22" s="16">
        <v>-0.0224</v>
      </c>
      <c r="I22" s="27">
        <v>-0.0147</v>
      </c>
      <c r="J22" s="16">
        <v>0.0328</v>
      </c>
      <c r="K22" s="16">
        <v>0.0352</v>
      </c>
      <c r="L22" s="16">
        <v>0.0161</v>
      </c>
      <c r="M22" s="29">
        <v>-2.1528</v>
      </c>
    </row>
    <row r="23" ht="15.6" customHeight="1" spans="1:13">
      <c r="A23" s="12" t="s">
        <v>1056</v>
      </c>
      <c r="B23" s="13" t="s">
        <v>54</v>
      </c>
      <c r="C23" s="13" t="s">
        <v>1132</v>
      </c>
      <c r="D23" s="13" t="s">
        <v>1089</v>
      </c>
      <c r="E23" s="16" t="s">
        <v>406</v>
      </c>
      <c r="F23" s="16">
        <v>0.0061</v>
      </c>
      <c r="G23" s="16">
        <v>0.0123</v>
      </c>
      <c r="H23" s="16">
        <v>0.0253</v>
      </c>
      <c r="I23" s="27">
        <v>0.1166</v>
      </c>
      <c r="J23" s="16">
        <v>0.0331</v>
      </c>
      <c r="K23" s="16">
        <v>0.0896</v>
      </c>
      <c r="L23" s="16">
        <v>0.0795</v>
      </c>
      <c r="M23" s="29">
        <v>1.2161</v>
      </c>
    </row>
    <row r="24" ht="15.6" customHeight="1" spans="1:13">
      <c r="A24" s="12" t="s">
        <v>354</v>
      </c>
      <c r="B24" s="13" t="s">
        <v>54</v>
      </c>
      <c r="C24" s="13" t="s">
        <v>1133</v>
      </c>
      <c r="D24" s="13" t="s">
        <v>1089</v>
      </c>
      <c r="E24" s="16" t="s">
        <v>1134</v>
      </c>
      <c r="F24" s="16">
        <v>0.0059</v>
      </c>
      <c r="G24" s="16">
        <v>0.0027</v>
      </c>
      <c r="H24" s="16">
        <v>0.0617</v>
      </c>
      <c r="I24" s="27">
        <v>0.0522</v>
      </c>
      <c r="J24" s="16">
        <v>0.013</v>
      </c>
      <c r="K24" s="16">
        <v>0.0385</v>
      </c>
      <c r="L24" s="16">
        <v>0.0349</v>
      </c>
      <c r="M24" s="29">
        <v>0.925</v>
      </c>
    </row>
    <row r="25" ht="15.6" customHeight="1" spans="1:13">
      <c r="A25" s="12" t="s">
        <v>1135</v>
      </c>
      <c r="B25" s="13" t="s">
        <v>156</v>
      </c>
      <c r="C25" s="13" t="s">
        <v>1136</v>
      </c>
      <c r="D25" s="13" t="s">
        <v>1089</v>
      </c>
      <c r="E25" s="16" t="s">
        <v>1137</v>
      </c>
      <c r="F25" s="16">
        <v>0.0058</v>
      </c>
      <c r="G25" s="16">
        <v>-0.0016</v>
      </c>
      <c r="H25" s="16">
        <v>0.0072</v>
      </c>
      <c r="I25" s="27">
        <v>0.0706</v>
      </c>
      <c r="J25" s="16">
        <v>0.0125</v>
      </c>
      <c r="K25" s="16">
        <v>0.1138</v>
      </c>
      <c r="L25" s="16">
        <v>0.0458</v>
      </c>
      <c r="M25" s="29">
        <v>1.1053</v>
      </c>
    </row>
    <row r="26" ht="15.6" customHeight="1" spans="1:13">
      <c r="A26" s="12" t="s">
        <v>440</v>
      </c>
      <c r="B26" s="13" t="s">
        <v>156</v>
      </c>
      <c r="C26" s="13" t="s">
        <v>1138</v>
      </c>
      <c r="D26" s="13" t="s">
        <v>1089</v>
      </c>
      <c r="E26" s="16" t="s">
        <v>406</v>
      </c>
      <c r="F26" s="16">
        <v>0.0057</v>
      </c>
      <c r="G26" s="16">
        <v>-0.0312</v>
      </c>
      <c r="H26" s="16">
        <v>-0.0409</v>
      </c>
      <c r="I26" s="27">
        <v>0.034</v>
      </c>
      <c r="J26" s="16">
        <v>0.0555</v>
      </c>
      <c r="K26" s="16">
        <v>0.0591</v>
      </c>
      <c r="L26" s="16">
        <v>0.0455</v>
      </c>
      <c r="M26" s="29">
        <v>0.3082</v>
      </c>
    </row>
    <row r="27" ht="15.6" customHeight="1" spans="1:13">
      <c r="A27" s="12" t="s">
        <v>385</v>
      </c>
      <c r="B27" s="13" t="s">
        <v>156</v>
      </c>
      <c r="C27" s="13" t="s">
        <v>1139</v>
      </c>
      <c r="D27" s="13" t="s">
        <v>1089</v>
      </c>
      <c r="E27" s="16" t="s">
        <v>1140</v>
      </c>
      <c r="F27" s="16">
        <v>0.0057</v>
      </c>
      <c r="G27" s="16">
        <v>0.0132</v>
      </c>
      <c r="H27" s="16">
        <v>0.0039</v>
      </c>
      <c r="I27" s="27">
        <v>0.0981</v>
      </c>
      <c r="J27" s="16">
        <v>0.0288</v>
      </c>
      <c r="K27" s="16">
        <v>0.0516</v>
      </c>
      <c r="L27" s="16">
        <v>0.0551</v>
      </c>
      <c r="M27" s="29">
        <v>1.4177</v>
      </c>
    </row>
    <row r="28" ht="15.6" customHeight="1" spans="1:13">
      <c r="A28" s="12" t="s">
        <v>619</v>
      </c>
      <c r="B28" s="13" t="s">
        <v>38</v>
      </c>
      <c r="C28" s="13" t="s">
        <v>1141</v>
      </c>
      <c r="D28" s="13" t="s">
        <v>1124</v>
      </c>
      <c r="E28" s="16" t="s">
        <v>799</v>
      </c>
      <c r="F28" s="16">
        <v>0.004</v>
      </c>
      <c r="G28" s="16">
        <v>0.0172</v>
      </c>
      <c r="H28" s="16">
        <v>0.0102</v>
      </c>
      <c r="I28" s="27">
        <v>0.032</v>
      </c>
      <c r="J28" s="16">
        <v>0.0218</v>
      </c>
      <c r="K28" s="16">
        <v>0.0218</v>
      </c>
      <c r="L28" s="16">
        <v>0.035</v>
      </c>
      <c r="M28" s="29">
        <v>0.3438</v>
      </c>
    </row>
    <row r="29" ht="15.6" customHeight="1" spans="1:13">
      <c r="A29" s="12" t="s">
        <v>1142</v>
      </c>
      <c r="B29" s="13" t="s">
        <v>38</v>
      </c>
      <c r="C29" s="13" t="s">
        <v>1143</v>
      </c>
      <c r="D29" s="13" t="s">
        <v>1089</v>
      </c>
      <c r="E29" s="16" t="s">
        <v>1144</v>
      </c>
      <c r="F29" s="16">
        <v>0.0039</v>
      </c>
      <c r="G29" s="16">
        <v>-0.007</v>
      </c>
      <c r="H29" s="16">
        <v>-0.0199</v>
      </c>
      <c r="I29" s="27">
        <v>0.0531</v>
      </c>
      <c r="J29" s="16">
        <v>0.0394</v>
      </c>
      <c r="K29" s="16">
        <v>0.0831</v>
      </c>
      <c r="L29" s="16">
        <v>0.0639</v>
      </c>
      <c r="M29" s="29">
        <v>0.5174</v>
      </c>
    </row>
    <row r="30" ht="15.6" customHeight="1" spans="1:13">
      <c r="A30" s="12" t="s">
        <v>434</v>
      </c>
      <c r="B30" s="13" t="s">
        <v>156</v>
      </c>
      <c r="C30" s="13" t="s">
        <v>1145</v>
      </c>
      <c r="D30" s="13" t="s">
        <v>1089</v>
      </c>
      <c r="E30" s="16" t="s">
        <v>1146</v>
      </c>
      <c r="F30" s="16">
        <v>0.0038</v>
      </c>
      <c r="G30" s="16">
        <v>0.0118</v>
      </c>
      <c r="H30" s="16">
        <v>0.0564</v>
      </c>
      <c r="I30" s="27">
        <v>0.1219</v>
      </c>
      <c r="J30" s="16">
        <v>0.0155</v>
      </c>
      <c r="K30" s="16">
        <v>0.0668</v>
      </c>
      <c r="L30" s="16">
        <v>0.0711</v>
      </c>
      <c r="M30" s="29">
        <v>1.4328</v>
      </c>
    </row>
    <row r="31" ht="15.6" customHeight="1" spans="1:13">
      <c r="A31" s="12" t="s">
        <v>437</v>
      </c>
      <c r="B31" s="13" t="s">
        <v>61</v>
      </c>
      <c r="C31" s="13" t="s">
        <v>1147</v>
      </c>
      <c r="D31" s="13" t="s">
        <v>1089</v>
      </c>
      <c r="E31" s="16" t="s">
        <v>1148</v>
      </c>
      <c r="F31" s="16">
        <v>0.0034</v>
      </c>
      <c r="G31" s="16">
        <v>0.013</v>
      </c>
      <c r="H31" s="16">
        <v>0.0319</v>
      </c>
      <c r="I31" s="27">
        <v>-0.0026</v>
      </c>
      <c r="J31" s="16">
        <v>0.0152</v>
      </c>
      <c r="K31" s="16">
        <v>0.077</v>
      </c>
      <c r="L31" s="16">
        <v>0.0575</v>
      </c>
      <c r="M31" s="29">
        <v>-0.3925</v>
      </c>
    </row>
    <row r="32" ht="15.6" customHeight="1" spans="1:13">
      <c r="A32" s="12" t="s">
        <v>426</v>
      </c>
      <c r="B32" s="13" t="s">
        <v>156</v>
      </c>
      <c r="C32" s="13" t="s">
        <v>1149</v>
      </c>
      <c r="D32" s="13" t="s">
        <v>1089</v>
      </c>
      <c r="E32" s="16" t="s">
        <v>1150</v>
      </c>
      <c r="F32" s="16">
        <v>0.0034</v>
      </c>
      <c r="G32" s="16">
        <v>0.004</v>
      </c>
      <c r="H32" s="16">
        <v>0.0394</v>
      </c>
      <c r="I32" s="27">
        <v>0.0959</v>
      </c>
      <c r="J32" s="16">
        <v>0.0219</v>
      </c>
      <c r="K32" s="16">
        <v>0.0445</v>
      </c>
      <c r="L32" s="16">
        <v>0.062</v>
      </c>
      <c r="M32" s="29">
        <v>1.2246</v>
      </c>
    </row>
    <row r="33" ht="15.6" customHeight="1" spans="1:13">
      <c r="A33" s="12" t="s">
        <v>594</v>
      </c>
      <c r="B33" s="13" t="s">
        <v>54</v>
      </c>
      <c r="C33" s="13" t="s">
        <v>1151</v>
      </c>
      <c r="D33" s="13" t="s">
        <v>1089</v>
      </c>
      <c r="E33" s="16" t="s">
        <v>1152</v>
      </c>
      <c r="F33" s="16">
        <v>0.0033</v>
      </c>
      <c r="G33" s="16">
        <v>-0.0087</v>
      </c>
      <c r="H33" s="16">
        <v>-0.0085</v>
      </c>
      <c r="I33" s="27">
        <v>0.035</v>
      </c>
      <c r="J33" s="16">
        <v>0.0357</v>
      </c>
      <c r="K33" s="16">
        <v>0.0357</v>
      </c>
      <c r="L33" s="16">
        <v>0.0409</v>
      </c>
      <c r="M33" s="29">
        <v>0.3676</v>
      </c>
    </row>
    <row r="34" ht="15.6" customHeight="1" spans="1:13">
      <c r="A34" s="12" t="s">
        <v>477</v>
      </c>
      <c r="B34" s="13" t="s">
        <v>156</v>
      </c>
      <c r="C34" s="13" t="s">
        <v>1153</v>
      </c>
      <c r="D34" s="13" t="s">
        <v>1089</v>
      </c>
      <c r="E34" s="16" t="s">
        <v>1154</v>
      </c>
      <c r="F34" s="16">
        <v>0.0032</v>
      </c>
      <c r="G34" s="16">
        <v>0.033</v>
      </c>
      <c r="H34" s="16">
        <v>0.0887</v>
      </c>
      <c r="I34" s="27">
        <v>0.1673</v>
      </c>
      <c r="J34" s="16">
        <v>0.0108</v>
      </c>
      <c r="K34" s="16">
        <v>0.0379</v>
      </c>
      <c r="L34" s="16">
        <v>0.0704</v>
      </c>
      <c r="M34" s="29">
        <v>2.0921</v>
      </c>
    </row>
    <row r="35" ht="15.6" customHeight="1" spans="1:13">
      <c r="A35" s="12" t="s">
        <v>496</v>
      </c>
      <c r="B35" s="13" t="s">
        <v>54</v>
      </c>
      <c r="C35" s="13" t="s">
        <v>1155</v>
      </c>
      <c r="D35" s="13" t="s">
        <v>1089</v>
      </c>
      <c r="E35" s="16" t="s">
        <v>1092</v>
      </c>
      <c r="F35" s="16">
        <v>0.0029</v>
      </c>
      <c r="G35" s="16">
        <v>-0.0069</v>
      </c>
      <c r="H35" s="16">
        <v>0.0224</v>
      </c>
      <c r="I35" s="27">
        <v>0.0918</v>
      </c>
      <c r="J35" s="16">
        <v>0.0172</v>
      </c>
      <c r="K35" s="16">
        <v>0.0835</v>
      </c>
      <c r="L35" s="16">
        <v>0.0549</v>
      </c>
      <c r="M35" s="29">
        <v>1.3064</v>
      </c>
    </row>
    <row r="36" ht="15.6" customHeight="1" spans="1:13">
      <c r="A36" s="12" t="s">
        <v>1156</v>
      </c>
      <c r="B36" s="13" t="s">
        <v>217</v>
      </c>
      <c r="C36" s="13" t="s">
        <v>1157</v>
      </c>
      <c r="D36" s="13" t="s">
        <v>1089</v>
      </c>
      <c r="E36" s="16" t="s">
        <v>1158</v>
      </c>
      <c r="F36" s="16">
        <v>0.0022</v>
      </c>
      <c r="G36" s="16">
        <v>0.0086</v>
      </c>
      <c r="H36" s="16">
        <v>0.0334</v>
      </c>
      <c r="I36" s="27">
        <v>0.0505</v>
      </c>
      <c r="J36" s="16">
        <v>0.0023</v>
      </c>
      <c r="K36" s="16">
        <v>0.0357</v>
      </c>
      <c r="L36" s="16">
        <v>0.0615</v>
      </c>
      <c r="M36" s="29">
        <v>0.4949</v>
      </c>
    </row>
    <row r="37" ht="15.6" customHeight="1" spans="1:13">
      <c r="A37" s="12" t="s">
        <v>1159</v>
      </c>
      <c r="B37" s="13" t="s">
        <v>61</v>
      </c>
      <c r="C37" s="13" t="s">
        <v>1160</v>
      </c>
      <c r="D37" s="13" t="s">
        <v>1089</v>
      </c>
      <c r="E37" s="16" t="s">
        <v>1161</v>
      </c>
      <c r="F37" s="16">
        <v>0.0018</v>
      </c>
      <c r="G37" s="16">
        <v>0.0093</v>
      </c>
      <c r="H37" s="16">
        <v>0.0501</v>
      </c>
      <c r="I37" s="27">
        <v>0.043</v>
      </c>
      <c r="J37" s="16">
        <v>0.0219</v>
      </c>
      <c r="K37" s="16">
        <v>0.0965</v>
      </c>
      <c r="L37" s="16">
        <v>0.0701</v>
      </c>
      <c r="M37" s="29">
        <v>0.3282</v>
      </c>
    </row>
    <row r="38" ht="15.6" customHeight="1" spans="1:13">
      <c r="A38" s="12" t="s">
        <v>1051</v>
      </c>
      <c r="B38" s="13" t="s">
        <v>217</v>
      </c>
      <c r="C38" s="13" t="s">
        <v>1162</v>
      </c>
      <c r="D38" s="13" t="s">
        <v>1089</v>
      </c>
      <c r="E38" s="16" t="s">
        <v>1163</v>
      </c>
      <c r="F38" s="16">
        <v>0.0017</v>
      </c>
      <c r="G38" s="16">
        <v>-0.0034</v>
      </c>
      <c r="H38" s="16">
        <v>0.0997</v>
      </c>
      <c r="I38" s="27">
        <v>0.1047</v>
      </c>
      <c r="J38" s="16">
        <v>0.0085</v>
      </c>
      <c r="K38" s="16">
        <v>0.0403</v>
      </c>
      <c r="L38" s="16">
        <v>0.0524</v>
      </c>
      <c r="M38" s="29">
        <v>1.6172</v>
      </c>
    </row>
    <row r="39" ht="15.6" customHeight="1" spans="1:13">
      <c r="A39" s="12" t="s">
        <v>1063</v>
      </c>
      <c r="B39" s="13" t="s">
        <v>38</v>
      </c>
      <c r="C39" s="13" t="s">
        <v>1164</v>
      </c>
      <c r="D39" s="13" t="s">
        <v>1089</v>
      </c>
      <c r="E39" s="16" t="s">
        <v>1165</v>
      </c>
      <c r="F39" s="16">
        <v>0.0015</v>
      </c>
      <c r="G39" s="16">
        <v>0.0093</v>
      </c>
      <c r="H39" s="16">
        <v>0.0142</v>
      </c>
      <c r="I39" s="27">
        <v>0.0636</v>
      </c>
      <c r="J39" s="16">
        <v>0.0229</v>
      </c>
      <c r="K39" s="16">
        <v>0.0722</v>
      </c>
      <c r="L39" s="16">
        <v>0.0713</v>
      </c>
      <c r="M39" s="29">
        <v>0.6125</v>
      </c>
    </row>
    <row r="40" ht="15.6" customHeight="1" spans="1:13">
      <c r="A40" s="12" t="s">
        <v>409</v>
      </c>
      <c r="B40" s="13" t="s">
        <v>156</v>
      </c>
      <c r="C40" s="13" t="s">
        <v>1166</v>
      </c>
      <c r="D40" s="13" t="s">
        <v>1089</v>
      </c>
      <c r="E40" s="16" t="s">
        <v>330</v>
      </c>
      <c r="F40" s="16">
        <v>0.0013</v>
      </c>
      <c r="G40" s="16">
        <v>-0.0203</v>
      </c>
      <c r="H40" s="16"/>
      <c r="I40" s="27">
        <v>0.0015</v>
      </c>
      <c r="J40" s="16"/>
      <c r="K40" s="16">
        <v>0.0297</v>
      </c>
      <c r="L40" s="16">
        <v>0.0483</v>
      </c>
      <c r="M40" s="29">
        <v>-0.3822</v>
      </c>
    </row>
    <row r="41" ht="15.6" customHeight="1" spans="1:13">
      <c r="A41" s="12" t="s">
        <v>423</v>
      </c>
      <c r="B41" s="13" t="s">
        <v>156</v>
      </c>
      <c r="C41" s="13" t="s">
        <v>1167</v>
      </c>
      <c r="D41" s="13" t="s">
        <v>1089</v>
      </c>
      <c r="E41" s="16" t="s">
        <v>1168</v>
      </c>
      <c r="F41" s="16">
        <v>0.0012</v>
      </c>
      <c r="G41" s="16">
        <v>0.0015</v>
      </c>
      <c r="H41" s="16">
        <v>0.0211</v>
      </c>
      <c r="I41" s="27">
        <v>0.0475</v>
      </c>
      <c r="J41" s="16">
        <v>0.0082</v>
      </c>
      <c r="K41" s="16">
        <v>0.0365</v>
      </c>
      <c r="L41" s="16">
        <v>0.0264</v>
      </c>
      <c r="M41" s="29">
        <v>1.0424</v>
      </c>
    </row>
    <row r="42" ht="15.6" customHeight="1" spans="1:13">
      <c r="A42" s="12" t="s">
        <v>683</v>
      </c>
      <c r="B42" s="13" t="s">
        <v>61</v>
      </c>
      <c r="C42" s="13" t="s">
        <v>1169</v>
      </c>
      <c r="D42" s="13" t="s">
        <v>1089</v>
      </c>
      <c r="E42" s="16" t="s">
        <v>1072</v>
      </c>
      <c r="F42" s="16">
        <v>0.001</v>
      </c>
      <c r="G42" s="16">
        <v>-0.0006</v>
      </c>
      <c r="H42" s="16">
        <v>0.018</v>
      </c>
      <c r="I42" s="27">
        <v>-0.003</v>
      </c>
      <c r="J42" s="16">
        <v>0.0382</v>
      </c>
      <c r="K42" s="16">
        <v>0.2857</v>
      </c>
      <c r="L42" s="16">
        <v>0.1094</v>
      </c>
      <c r="M42" s="29">
        <v>-0.2105</v>
      </c>
    </row>
    <row r="43" ht="15.6" customHeight="1" spans="1:13">
      <c r="A43" s="12" t="s">
        <v>680</v>
      </c>
      <c r="B43" s="13" t="s">
        <v>38</v>
      </c>
      <c r="C43" s="13" t="s">
        <v>1170</v>
      </c>
      <c r="D43" s="13" t="s">
        <v>1089</v>
      </c>
      <c r="E43" s="16" t="s">
        <v>1171</v>
      </c>
      <c r="F43" s="16">
        <v>0.0008</v>
      </c>
      <c r="G43" s="16">
        <v>0</v>
      </c>
      <c r="H43" s="16">
        <v>0.0622</v>
      </c>
      <c r="I43" s="27">
        <v>0.1067</v>
      </c>
      <c r="J43" s="16">
        <v>0.0133</v>
      </c>
      <c r="K43" s="16">
        <v>0.0133</v>
      </c>
      <c r="L43" s="16">
        <v>0.0476</v>
      </c>
      <c r="M43" s="29">
        <v>1.8213</v>
      </c>
    </row>
    <row r="44" ht="15.6" customHeight="1" spans="1:13">
      <c r="A44" s="12" t="s">
        <v>636</v>
      </c>
      <c r="B44" s="13" t="s">
        <v>61</v>
      </c>
      <c r="C44" s="13" t="s">
        <v>1172</v>
      </c>
      <c r="D44" s="13" t="s">
        <v>1089</v>
      </c>
      <c r="E44" s="16" t="s">
        <v>1173</v>
      </c>
      <c r="F44" s="16">
        <v>0</v>
      </c>
      <c r="G44" s="16">
        <v>-0.0022</v>
      </c>
      <c r="H44" s="16">
        <v>0.0243</v>
      </c>
      <c r="I44" s="27">
        <v>0.099</v>
      </c>
      <c r="J44" s="16">
        <v>0.0105</v>
      </c>
      <c r="K44" s="16">
        <v>0.0184</v>
      </c>
      <c r="L44" s="16">
        <v>0.039</v>
      </c>
      <c r="M44" s="29">
        <v>2.0258</v>
      </c>
    </row>
    <row r="45" ht="15.6" customHeight="1" spans="1:13">
      <c r="A45" s="12" t="s">
        <v>382</v>
      </c>
      <c r="B45" s="13" t="s">
        <v>156</v>
      </c>
      <c r="C45" s="13" t="s">
        <v>1174</v>
      </c>
      <c r="D45" s="13" t="s">
        <v>1089</v>
      </c>
      <c r="E45" s="16" t="s">
        <v>1175</v>
      </c>
      <c r="F45" s="16">
        <v>-0.0008</v>
      </c>
      <c r="G45" s="16">
        <v>0.0122</v>
      </c>
      <c r="H45" s="16">
        <v>0.0552</v>
      </c>
      <c r="I45" s="27">
        <v>0.0964</v>
      </c>
      <c r="J45" s="16">
        <v>0.0048</v>
      </c>
      <c r="K45" s="16">
        <v>0.0348</v>
      </c>
      <c r="L45" s="16">
        <v>0.037</v>
      </c>
      <c r="M45" s="29">
        <v>2.0638</v>
      </c>
    </row>
    <row r="46" ht="15.6" customHeight="1" spans="1:13">
      <c r="A46" s="12" t="s">
        <v>443</v>
      </c>
      <c r="B46" s="13" t="s">
        <v>217</v>
      </c>
      <c r="C46" s="13" t="s">
        <v>1176</v>
      </c>
      <c r="D46" s="13" t="s">
        <v>1089</v>
      </c>
      <c r="E46" s="16" t="s">
        <v>1177</v>
      </c>
      <c r="F46" s="16">
        <v>-0.0008</v>
      </c>
      <c r="G46" s="16">
        <v>-0.0007</v>
      </c>
      <c r="H46" s="16">
        <v>-0.0126</v>
      </c>
      <c r="I46" s="27">
        <v>0.0683</v>
      </c>
      <c r="J46" s="16">
        <v>0.0242</v>
      </c>
      <c r="K46" s="16">
        <v>0.0556</v>
      </c>
      <c r="L46" s="16">
        <v>0.0463</v>
      </c>
      <c r="M46" s="29">
        <v>1.0447</v>
      </c>
    </row>
    <row r="47" ht="15.6" customHeight="1" spans="1:13">
      <c r="A47" s="12" t="s">
        <v>1178</v>
      </c>
      <c r="B47" s="13" t="s">
        <v>54</v>
      </c>
      <c r="C47" s="13" t="s">
        <v>1179</v>
      </c>
      <c r="D47" s="13" t="s">
        <v>1089</v>
      </c>
      <c r="E47" s="16" t="s">
        <v>1180</v>
      </c>
      <c r="F47" s="16">
        <v>-0.0009</v>
      </c>
      <c r="G47" s="16">
        <v>0.0036</v>
      </c>
      <c r="H47" s="16">
        <v>0.0211</v>
      </c>
      <c r="I47" s="27">
        <v>0.0961</v>
      </c>
      <c r="J47" s="16">
        <v>0.0306</v>
      </c>
      <c r="K47" s="16">
        <v>0.0564</v>
      </c>
      <c r="L47" s="16">
        <v>0.0567</v>
      </c>
      <c r="M47" s="29">
        <v>1.3431</v>
      </c>
    </row>
    <row r="48" ht="15.6" customHeight="1" spans="1:13">
      <c r="A48" s="12" t="s">
        <v>483</v>
      </c>
      <c r="B48" s="13" t="s">
        <v>217</v>
      </c>
      <c r="C48" s="13" t="s">
        <v>1181</v>
      </c>
      <c r="D48" s="13" t="s">
        <v>1089</v>
      </c>
      <c r="E48" s="16" t="s">
        <v>425</v>
      </c>
      <c r="F48" s="16">
        <v>-0.0011</v>
      </c>
      <c r="G48" s="16">
        <v>0.0146</v>
      </c>
      <c r="H48" s="16"/>
      <c r="I48" s="27">
        <v>0.0045</v>
      </c>
      <c r="J48" s="16"/>
      <c r="K48" s="16">
        <v>0.0227</v>
      </c>
      <c r="L48" s="16">
        <v>0.0535</v>
      </c>
      <c r="M48" s="29">
        <v>-0.2906</v>
      </c>
    </row>
    <row r="49" ht="15.6" customHeight="1" spans="1:13">
      <c r="A49" s="12" t="s">
        <v>472</v>
      </c>
      <c r="B49" s="13" t="s">
        <v>30</v>
      </c>
      <c r="C49" s="13" t="s">
        <v>1182</v>
      </c>
      <c r="D49" s="13" t="s">
        <v>1089</v>
      </c>
      <c r="E49" s="16" t="s">
        <v>1183</v>
      </c>
      <c r="F49" s="16">
        <v>-0.0014</v>
      </c>
      <c r="G49" s="16">
        <v>-0.0057</v>
      </c>
      <c r="H49" s="16">
        <v>0.0014</v>
      </c>
      <c r="I49" s="27">
        <v>0.0381</v>
      </c>
      <c r="J49" s="16">
        <v>0.0599</v>
      </c>
      <c r="K49" s="16">
        <v>0.1184</v>
      </c>
      <c r="L49" s="16">
        <v>0.0636</v>
      </c>
      <c r="M49" s="29">
        <v>0.2846</v>
      </c>
    </row>
    <row r="50" ht="15.6" customHeight="1" spans="1:13">
      <c r="A50" s="12" t="s">
        <v>762</v>
      </c>
      <c r="B50" s="13" t="s">
        <v>156</v>
      </c>
      <c r="C50" s="13" t="s">
        <v>1184</v>
      </c>
      <c r="D50" s="13" t="s">
        <v>1124</v>
      </c>
      <c r="E50" s="16" t="s">
        <v>1185</v>
      </c>
      <c r="F50" s="16">
        <v>-0.0016</v>
      </c>
      <c r="G50" s="16">
        <v>0.0042</v>
      </c>
      <c r="H50" s="16">
        <v>0.0403</v>
      </c>
      <c r="I50" s="27">
        <v>0.0682</v>
      </c>
      <c r="J50" s="16">
        <v>0.0092</v>
      </c>
      <c r="K50" s="16">
        <v>0.022</v>
      </c>
      <c r="L50" s="16">
        <v>0.0392</v>
      </c>
      <c r="M50" s="29">
        <v>1.2298</v>
      </c>
    </row>
    <row r="51" ht="15.6" customHeight="1" spans="1:13">
      <c r="A51" s="12" t="s">
        <v>1186</v>
      </c>
      <c r="B51" s="13" t="s">
        <v>38</v>
      </c>
      <c r="C51" s="13" t="s">
        <v>1187</v>
      </c>
      <c r="D51" s="13" t="s">
        <v>1124</v>
      </c>
      <c r="E51" s="16" t="s">
        <v>744</v>
      </c>
      <c r="F51" s="16">
        <v>-0.0016</v>
      </c>
      <c r="G51" s="16">
        <v>0.0072</v>
      </c>
      <c r="H51" s="16">
        <v>0.0194</v>
      </c>
      <c r="I51" s="27">
        <v>0.045</v>
      </c>
      <c r="J51" s="16">
        <v>0.017</v>
      </c>
      <c r="K51" s="16">
        <v>0.0291</v>
      </c>
      <c r="L51" s="16">
        <v>0.0337</v>
      </c>
      <c r="M51" s="29">
        <v>0.7413</v>
      </c>
    </row>
    <row r="52" ht="15.6" customHeight="1" spans="1:13">
      <c r="A52" s="12" t="s">
        <v>655</v>
      </c>
      <c r="B52" s="13" t="s">
        <v>156</v>
      </c>
      <c r="C52" s="13" t="s">
        <v>1188</v>
      </c>
      <c r="D52" s="13" t="s">
        <v>1089</v>
      </c>
      <c r="E52" s="16" t="s">
        <v>659</v>
      </c>
      <c r="F52" s="16">
        <v>-0.0021</v>
      </c>
      <c r="G52" s="16">
        <v>0.0029</v>
      </c>
      <c r="H52" s="16">
        <v>0.01</v>
      </c>
      <c r="I52" s="27">
        <v>0.0931</v>
      </c>
      <c r="J52" s="16">
        <v>0.0194</v>
      </c>
      <c r="K52" s="16">
        <v>0.1014</v>
      </c>
      <c r="L52" s="16">
        <v>0.0773</v>
      </c>
      <c r="M52" s="29">
        <v>0.9449</v>
      </c>
    </row>
    <row r="53" ht="15.6" customHeight="1" spans="1:13">
      <c r="A53" s="12" t="s">
        <v>1189</v>
      </c>
      <c r="B53" s="13" t="s">
        <v>30</v>
      </c>
      <c r="C53" s="13" t="s">
        <v>1190</v>
      </c>
      <c r="D53" s="13" t="s">
        <v>1089</v>
      </c>
      <c r="E53" s="16" t="s">
        <v>1191</v>
      </c>
      <c r="F53" s="16">
        <v>-0.0022</v>
      </c>
      <c r="G53" s="16">
        <v>-0.0142</v>
      </c>
      <c r="H53" s="16">
        <v>-0.0086</v>
      </c>
      <c r="I53" s="27">
        <v>0.0329</v>
      </c>
      <c r="J53" s="16">
        <v>0.0429</v>
      </c>
      <c r="K53" s="16">
        <v>0.0865</v>
      </c>
      <c r="L53" s="16">
        <v>0.0583</v>
      </c>
      <c r="M53" s="29">
        <v>0.2218</v>
      </c>
    </row>
    <row r="54" ht="15.6" customHeight="1" spans="1:13">
      <c r="A54" s="12" t="s">
        <v>313</v>
      </c>
      <c r="B54" s="13" t="s">
        <v>156</v>
      </c>
      <c r="C54" s="13" t="s">
        <v>1192</v>
      </c>
      <c r="D54" s="13" t="s">
        <v>1089</v>
      </c>
      <c r="E54" s="16" t="s">
        <v>1193</v>
      </c>
      <c r="F54" s="16">
        <v>-0.0023</v>
      </c>
      <c r="G54" s="16">
        <v>0.0507</v>
      </c>
      <c r="H54" s="16">
        <v>0.0862</v>
      </c>
      <c r="I54" s="27">
        <v>0.1809</v>
      </c>
      <c r="J54" s="16">
        <v>0.0255</v>
      </c>
      <c r="K54" s="16">
        <v>0.039</v>
      </c>
      <c r="L54" s="16">
        <v>0.0765</v>
      </c>
      <c r="M54" s="29">
        <v>2.1047</v>
      </c>
    </row>
    <row r="55" ht="15.6" customHeight="1" spans="1:13">
      <c r="A55" s="12" t="s">
        <v>1194</v>
      </c>
      <c r="B55" s="13" t="s">
        <v>61</v>
      </c>
      <c r="C55" s="13" t="s">
        <v>1195</v>
      </c>
      <c r="D55" s="13" t="s">
        <v>1089</v>
      </c>
      <c r="E55" s="16" t="s">
        <v>1196</v>
      </c>
      <c r="F55" s="16">
        <v>-0.0029</v>
      </c>
      <c r="G55" s="16">
        <v>0.0058</v>
      </c>
      <c r="H55" s="16">
        <v>0.1105</v>
      </c>
      <c r="I55" s="27">
        <v>0.1146</v>
      </c>
      <c r="J55" s="16">
        <v>0.0292</v>
      </c>
      <c r="K55" s="16">
        <v>0.0294</v>
      </c>
      <c r="L55" s="16">
        <v>0.0591</v>
      </c>
      <c r="M55" s="29">
        <v>1.5997</v>
      </c>
    </row>
    <row r="56" ht="15.6" customHeight="1" spans="1:13">
      <c r="A56" s="12" t="s">
        <v>1197</v>
      </c>
      <c r="B56" s="13" t="s">
        <v>54</v>
      </c>
      <c r="C56" s="13" t="s">
        <v>1198</v>
      </c>
      <c r="D56" s="13" t="s">
        <v>1089</v>
      </c>
      <c r="E56" s="16" t="s">
        <v>1199</v>
      </c>
      <c r="F56" s="16">
        <v>-0.003</v>
      </c>
      <c r="G56" s="16">
        <v>-0.022</v>
      </c>
      <c r="H56" s="16">
        <v>-0.0215</v>
      </c>
      <c r="I56" s="27">
        <v>-0.0505</v>
      </c>
      <c r="J56" s="16">
        <v>0.0722</v>
      </c>
      <c r="K56" s="16">
        <v>0.0981</v>
      </c>
      <c r="L56" s="16">
        <v>0.0587</v>
      </c>
      <c r="M56" s="29">
        <v>-1.2</v>
      </c>
    </row>
    <row r="57" ht="15.6" customHeight="1" spans="1:13">
      <c r="A57" s="12" t="s">
        <v>777</v>
      </c>
      <c r="B57" s="13" t="s">
        <v>54</v>
      </c>
      <c r="C57" s="13" t="s">
        <v>1200</v>
      </c>
      <c r="D57" s="13" t="s">
        <v>1089</v>
      </c>
      <c r="E57" s="16" t="s">
        <v>1201</v>
      </c>
      <c r="F57" s="16">
        <v>-0.003</v>
      </c>
      <c r="G57" s="16">
        <v>-0.0112</v>
      </c>
      <c r="H57" s="16">
        <v>0.0354</v>
      </c>
      <c r="I57" s="27">
        <v>0.0528</v>
      </c>
      <c r="J57" s="16">
        <v>0.0112</v>
      </c>
      <c r="K57" s="16">
        <v>0.0565</v>
      </c>
      <c r="L57" s="16">
        <v>0.0368</v>
      </c>
      <c r="M57" s="29">
        <v>0.892</v>
      </c>
    </row>
    <row r="58" ht="15.6" customHeight="1" spans="1:13">
      <c r="A58" s="12" t="s">
        <v>1202</v>
      </c>
      <c r="B58" s="13" t="s">
        <v>61</v>
      </c>
      <c r="C58" s="13" t="s">
        <v>1203</v>
      </c>
      <c r="D58" s="13" t="s">
        <v>1089</v>
      </c>
      <c r="E58" s="16" t="s">
        <v>1204</v>
      </c>
      <c r="F58" s="16">
        <v>-0.0036</v>
      </c>
      <c r="G58" s="16">
        <v>0.0356</v>
      </c>
      <c r="H58" s="16">
        <v>0.185</v>
      </c>
      <c r="I58" s="27">
        <v>0.0922</v>
      </c>
      <c r="J58" s="16">
        <v>0.0112</v>
      </c>
      <c r="K58" s="16">
        <v>0.0346</v>
      </c>
      <c r="L58" s="16">
        <v>0.0425</v>
      </c>
      <c r="M58" s="29">
        <v>1.7006</v>
      </c>
    </row>
    <row r="59" ht="15.6" customHeight="1" spans="1:13">
      <c r="A59" s="12" t="s">
        <v>316</v>
      </c>
      <c r="B59" s="13" t="s">
        <v>156</v>
      </c>
      <c r="C59" s="13" t="s">
        <v>1205</v>
      </c>
      <c r="D59" s="13" t="s">
        <v>1089</v>
      </c>
      <c r="E59" s="16" t="s">
        <v>1206</v>
      </c>
      <c r="F59" s="16">
        <v>-0.0037</v>
      </c>
      <c r="G59" s="16">
        <v>0.0319</v>
      </c>
      <c r="H59" s="16">
        <v>0.0896</v>
      </c>
      <c r="I59" s="27">
        <v>0.098</v>
      </c>
      <c r="J59" s="16">
        <v>0.0298</v>
      </c>
      <c r="K59" s="16">
        <v>0.09</v>
      </c>
      <c r="L59" s="16">
        <v>0.073</v>
      </c>
      <c r="M59" s="29">
        <v>1.0694</v>
      </c>
    </row>
    <row r="60" ht="15.6" customHeight="1" spans="1:13">
      <c r="A60" s="12" t="s">
        <v>1207</v>
      </c>
      <c r="B60" s="13" t="s">
        <v>30</v>
      </c>
      <c r="C60" s="13" t="s">
        <v>1208</v>
      </c>
      <c r="D60" s="13" t="s">
        <v>1089</v>
      </c>
      <c r="E60" s="16" t="s">
        <v>1209</v>
      </c>
      <c r="F60" s="16">
        <v>-0.0038</v>
      </c>
      <c r="G60" s="16">
        <v>0.0139</v>
      </c>
      <c r="H60" s="16">
        <v>0.116</v>
      </c>
      <c r="I60" s="27">
        <v>0.1146</v>
      </c>
      <c r="J60" s="16">
        <v>0.0119</v>
      </c>
      <c r="K60" s="16">
        <v>0.0983</v>
      </c>
      <c r="L60" s="16">
        <v>0.0607</v>
      </c>
      <c r="M60" s="29">
        <v>1.5593</v>
      </c>
    </row>
    <row r="61" ht="15.6" customHeight="1" spans="1:13">
      <c r="A61" s="12" t="s">
        <v>316</v>
      </c>
      <c r="B61" s="13" t="s">
        <v>156</v>
      </c>
      <c r="C61" s="13" t="s">
        <v>1210</v>
      </c>
      <c r="D61" s="13" t="s">
        <v>1089</v>
      </c>
      <c r="E61" s="16" t="s">
        <v>1206</v>
      </c>
      <c r="F61" s="16">
        <v>-0.0038</v>
      </c>
      <c r="G61" s="16">
        <v>0.0318</v>
      </c>
      <c r="H61" s="16">
        <v>0.0894</v>
      </c>
      <c r="I61" s="27">
        <v>0.0978</v>
      </c>
      <c r="J61" s="16">
        <v>0.0299</v>
      </c>
      <c r="K61" s="16">
        <v>0.0901</v>
      </c>
      <c r="L61" s="16">
        <v>0.0729</v>
      </c>
      <c r="M61" s="29">
        <v>1.0662</v>
      </c>
    </row>
    <row r="62" ht="15.6" customHeight="1" spans="1:13">
      <c r="A62" s="12" t="s">
        <v>319</v>
      </c>
      <c r="B62" s="13" t="s">
        <v>156</v>
      </c>
      <c r="C62" s="13" t="s">
        <v>1211</v>
      </c>
      <c r="D62" s="13" t="s">
        <v>1089</v>
      </c>
      <c r="E62" s="16" t="s">
        <v>1212</v>
      </c>
      <c r="F62" s="16">
        <v>-0.0039</v>
      </c>
      <c r="G62" s="16">
        <v>0.0292</v>
      </c>
      <c r="H62" s="16">
        <v>0.0766</v>
      </c>
      <c r="I62" s="27">
        <v>0.0719</v>
      </c>
      <c r="J62" s="16">
        <v>0.0141</v>
      </c>
      <c r="K62" s="16">
        <v>0.0472</v>
      </c>
      <c r="L62" s="16">
        <v>0.0537</v>
      </c>
      <c r="M62" s="29">
        <v>0.9666</v>
      </c>
    </row>
    <row r="63" ht="15.6" customHeight="1" spans="1:13">
      <c r="A63" s="12" t="s">
        <v>428</v>
      </c>
      <c r="B63" s="13" t="s">
        <v>156</v>
      </c>
      <c r="C63" s="13" t="s">
        <v>1213</v>
      </c>
      <c r="D63" s="13" t="s">
        <v>1089</v>
      </c>
      <c r="E63" s="16" t="s">
        <v>1214</v>
      </c>
      <c r="F63" s="16">
        <v>-0.004</v>
      </c>
      <c r="G63" s="16">
        <v>0.0803</v>
      </c>
      <c r="H63" s="16">
        <v>0.0931</v>
      </c>
      <c r="I63" s="27">
        <v>0.0613</v>
      </c>
      <c r="J63" s="16">
        <v>0.0413</v>
      </c>
      <c r="K63" s="16">
        <v>0.092</v>
      </c>
      <c r="L63" s="16">
        <v>0.0788</v>
      </c>
      <c r="M63" s="29">
        <v>0.5235</v>
      </c>
    </row>
    <row r="64" ht="15.6" customHeight="1" spans="1:13">
      <c r="A64" s="12" t="s">
        <v>474</v>
      </c>
      <c r="B64" s="13" t="s">
        <v>156</v>
      </c>
      <c r="C64" s="13" t="s">
        <v>1215</v>
      </c>
      <c r="D64" s="13" t="s">
        <v>1089</v>
      </c>
      <c r="E64" s="16" t="s">
        <v>1216</v>
      </c>
      <c r="F64" s="16">
        <v>-0.0044</v>
      </c>
      <c r="G64" s="16">
        <v>-0.0097</v>
      </c>
      <c r="H64" s="16">
        <v>0.0132</v>
      </c>
      <c r="I64" s="27">
        <v>0.0401</v>
      </c>
      <c r="J64" s="16">
        <v>0.0294</v>
      </c>
      <c r="K64" s="16">
        <v>0.0658</v>
      </c>
      <c r="L64" s="16">
        <v>0.0678</v>
      </c>
      <c r="M64" s="29">
        <v>0.296</v>
      </c>
    </row>
    <row r="65" ht="15.6" customHeight="1" spans="1:13">
      <c r="A65" s="12" t="s">
        <v>1217</v>
      </c>
      <c r="B65" s="13" t="s">
        <v>54</v>
      </c>
      <c r="C65" s="13" t="s">
        <v>1218</v>
      </c>
      <c r="D65" s="13" t="s">
        <v>1089</v>
      </c>
      <c r="E65" s="16" t="s">
        <v>1219</v>
      </c>
      <c r="F65" s="16">
        <v>-0.0048</v>
      </c>
      <c r="G65" s="16">
        <v>-0.0299</v>
      </c>
      <c r="H65" s="16">
        <v>0.0003</v>
      </c>
      <c r="I65" s="27">
        <v>0.0549</v>
      </c>
      <c r="J65" s="16">
        <v>0.1059</v>
      </c>
      <c r="K65" s="16">
        <v>0.1059</v>
      </c>
      <c r="L65" s="16">
        <v>0.1462</v>
      </c>
      <c r="M65" s="29">
        <v>0.2391</v>
      </c>
    </row>
    <row r="66" ht="15.6" customHeight="1" spans="1:13">
      <c r="A66" s="12" t="s">
        <v>907</v>
      </c>
      <c r="B66" s="13" t="s">
        <v>38</v>
      </c>
      <c r="C66" s="13" t="s">
        <v>1220</v>
      </c>
      <c r="D66" s="13" t="s">
        <v>1089</v>
      </c>
      <c r="E66" s="16" t="s">
        <v>1221</v>
      </c>
      <c r="F66" s="16">
        <v>-0.0049</v>
      </c>
      <c r="G66" s="16">
        <v>-0.0071</v>
      </c>
      <c r="H66" s="16">
        <v>0.1286</v>
      </c>
      <c r="I66" s="27">
        <v>0.2378</v>
      </c>
      <c r="J66" s="16">
        <v>0.0133</v>
      </c>
      <c r="K66" s="16">
        <v>0.0133</v>
      </c>
      <c r="L66" s="16">
        <v>0.0579</v>
      </c>
      <c r="M66" s="29">
        <v>3.7609</v>
      </c>
    </row>
    <row r="67" ht="15.6" customHeight="1" spans="1:13">
      <c r="A67" s="12" t="s">
        <v>1222</v>
      </c>
      <c r="B67" s="13" t="s">
        <v>30</v>
      </c>
      <c r="C67" s="13" t="s">
        <v>1223</v>
      </c>
      <c r="D67" s="13" t="s">
        <v>1089</v>
      </c>
      <c r="E67" s="16" t="s">
        <v>1224</v>
      </c>
      <c r="F67" s="16">
        <v>-0.0049</v>
      </c>
      <c r="G67" s="16">
        <v>0.0197</v>
      </c>
      <c r="H67" s="16">
        <v>0.0828</v>
      </c>
      <c r="I67" s="27">
        <v>0.055</v>
      </c>
      <c r="J67" s="16">
        <v>0.019</v>
      </c>
      <c r="K67" s="16">
        <v>0.0749</v>
      </c>
      <c r="L67" s="16">
        <v>0.0559</v>
      </c>
      <c r="M67" s="29">
        <v>0.626</v>
      </c>
    </row>
    <row r="68" ht="15.6" customHeight="1" spans="1:13">
      <c r="A68" s="12" t="s">
        <v>310</v>
      </c>
      <c r="B68" s="13" t="s">
        <v>156</v>
      </c>
      <c r="C68" s="13" t="s">
        <v>1225</v>
      </c>
      <c r="D68" s="13" t="s">
        <v>1089</v>
      </c>
      <c r="E68" s="16" t="s">
        <v>747</v>
      </c>
      <c r="F68" s="16">
        <v>-0.0049</v>
      </c>
      <c r="G68" s="16">
        <v>0.0016</v>
      </c>
      <c r="H68" s="16">
        <v>0.0863</v>
      </c>
      <c r="I68" s="27">
        <v>0.1076</v>
      </c>
      <c r="J68" s="16">
        <v>0.0081</v>
      </c>
      <c r="K68" s="16">
        <v>0.0217</v>
      </c>
      <c r="L68" s="16">
        <v>0.0395</v>
      </c>
      <c r="M68" s="29">
        <v>2.2179</v>
      </c>
    </row>
    <row r="69" ht="15.6" customHeight="1" spans="1:13">
      <c r="A69" s="12" t="s">
        <v>431</v>
      </c>
      <c r="B69" s="13" t="s">
        <v>217</v>
      </c>
      <c r="C69" s="13" t="s">
        <v>1226</v>
      </c>
      <c r="D69" s="13" t="s">
        <v>1089</v>
      </c>
      <c r="E69" s="16" t="s">
        <v>1227</v>
      </c>
      <c r="F69" s="16">
        <v>-0.0051</v>
      </c>
      <c r="G69" s="16">
        <v>-0.001</v>
      </c>
      <c r="H69" s="16">
        <v>0.024</v>
      </c>
      <c r="I69" s="27">
        <v>0.0326</v>
      </c>
      <c r="J69" s="16">
        <v>0.0247</v>
      </c>
      <c r="K69" s="16">
        <v>0.081</v>
      </c>
      <c r="L69" s="16">
        <v>0.0634</v>
      </c>
      <c r="M69" s="29">
        <v>0.1987</v>
      </c>
    </row>
    <row r="70" ht="15.6" customHeight="1" spans="1:13">
      <c r="A70" s="12" t="s">
        <v>328</v>
      </c>
      <c r="B70" s="13" t="s">
        <v>217</v>
      </c>
      <c r="C70" s="13" t="s">
        <v>1228</v>
      </c>
      <c r="D70" s="13" t="s">
        <v>1089</v>
      </c>
      <c r="E70" s="16" t="s">
        <v>1229</v>
      </c>
      <c r="F70" s="16">
        <v>-0.0053</v>
      </c>
      <c r="G70" s="16">
        <v>0.0077</v>
      </c>
      <c r="H70" s="16">
        <v>0.0387</v>
      </c>
      <c r="I70" s="27">
        <v>0.0528</v>
      </c>
      <c r="J70" s="16">
        <v>0.0211</v>
      </c>
      <c r="K70" s="16">
        <v>0.0655</v>
      </c>
      <c r="L70" s="16">
        <v>0.0463</v>
      </c>
      <c r="M70" s="29">
        <v>0.7079</v>
      </c>
    </row>
    <row r="71" ht="15.6" customHeight="1" spans="1:13">
      <c r="A71" s="12" t="s">
        <v>754</v>
      </c>
      <c r="B71" s="13" t="s">
        <v>30</v>
      </c>
      <c r="C71" s="13" t="s">
        <v>1230</v>
      </c>
      <c r="D71" s="13" t="s">
        <v>1089</v>
      </c>
      <c r="E71" s="16" t="s">
        <v>1231</v>
      </c>
      <c r="F71" s="16">
        <v>-0.0055</v>
      </c>
      <c r="G71" s="16">
        <v>0.0107</v>
      </c>
      <c r="H71" s="16">
        <v>0.049</v>
      </c>
      <c r="I71" s="27">
        <v>0.0701</v>
      </c>
      <c r="J71" s="16">
        <v>0.0055</v>
      </c>
      <c r="K71" s="16">
        <v>0.01</v>
      </c>
      <c r="L71" s="16">
        <v>0.025</v>
      </c>
      <c r="M71" s="29">
        <v>2.0043</v>
      </c>
    </row>
    <row r="72" ht="15.6" customHeight="1" spans="1:13">
      <c r="A72" s="12" t="s">
        <v>689</v>
      </c>
      <c r="B72" s="13" t="s">
        <v>61</v>
      </c>
      <c r="C72" s="13" t="s">
        <v>1232</v>
      </c>
      <c r="D72" s="13" t="s">
        <v>1089</v>
      </c>
      <c r="E72" s="16" t="s">
        <v>1233</v>
      </c>
      <c r="F72" s="16">
        <v>-0.0058</v>
      </c>
      <c r="G72" s="16">
        <v>0.0216</v>
      </c>
      <c r="H72" s="16">
        <v>0.1217</v>
      </c>
      <c r="I72" s="27">
        <v>0.2021</v>
      </c>
      <c r="J72" s="16">
        <v>0.0229</v>
      </c>
      <c r="K72" s="16">
        <v>0.0315</v>
      </c>
      <c r="L72" s="16">
        <v>0.0674</v>
      </c>
      <c r="M72" s="29">
        <v>2.7019</v>
      </c>
    </row>
    <row r="73" ht="15.6" customHeight="1" spans="1:13">
      <c r="A73" s="12" t="s">
        <v>992</v>
      </c>
      <c r="B73" s="13" t="s">
        <v>156</v>
      </c>
      <c r="C73" s="13" t="s">
        <v>1234</v>
      </c>
      <c r="D73" s="13" t="s">
        <v>1089</v>
      </c>
      <c r="E73" s="16" t="s">
        <v>994</v>
      </c>
      <c r="F73" s="16">
        <v>-0.0062</v>
      </c>
      <c r="G73" s="16">
        <v>-0.0158</v>
      </c>
      <c r="H73" s="16">
        <v>0.005</v>
      </c>
      <c r="I73" s="27">
        <v>0.0012</v>
      </c>
      <c r="J73" s="16">
        <v>0.0526</v>
      </c>
      <c r="K73" s="16">
        <v>0.0526</v>
      </c>
      <c r="L73" s="16">
        <v>0.0489</v>
      </c>
      <c r="M73" s="29">
        <v>-0.3834</v>
      </c>
    </row>
    <row r="74" ht="15.6" customHeight="1" spans="1:13">
      <c r="A74" s="12" t="s">
        <v>670</v>
      </c>
      <c r="B74" s="13" t="s">
        <v>61</v>
      </c>
      <c r="C74" s="13" t="s">
        <v>1235</v>
      </c>
      <c r="D74" s="13" t="s">
        <v>1089</v>
      </c>
      <c r="E74" s="16" t="s">
        <v>1236</v>
      </c>
      <c r="F74" s="16">
        <v>-0.0076</v>
      </c>
      <c r="G74" s="16">
        <v>0.0053</v>
      </c>
      <c r="H74" s="16">
        <v>0.048</v>
      </c>
      <c r="I74" s="27">
        <v>0.0681</v>
      </c>
      <c r="J74" s="16">
        <v>0.0251</v>
      </c>
      <c r="K74" s="16">
        <v>0.05</v>
      </c>
      <c r="L74" s="16">
        <v>0.0578</v>
      </c>
      <c r="M74" s="29">
        <v>0.8321</v>
      </c>
    </row>
    <row r="75" ht="15.6" customHeight="1" spans="1:13">
      <c r="A75" s="12" t="s">
        <v>504</v>
      </c>
      <c r="B75" s="13" t="s">
        <v>156</v>
      </c>
      <c r="C75" s="13" t="s">
        <v>1237</v>
      </c>
      <c r="D75" s="13" t="s">
        <v>1089</v>
      </c>
      <c r="E75" s="16" t="s">
        <v>961</v>
      </c>
      <c r="F75" s="16">
        <v>-0.008</v>
      </c>
      <c r="G75" s="16">
        <v>-0.0049</v>
      </c>
      <c r="H75" s="16">
        <v>0.0473</v>
      </c>
      <c r="I75" s="27">
        <v>0.1046</v>
      </c>
      <c r="J75" s="16">
        <v>0.0134</v>
      </c>
      <c r="K75" s="16">
        <v>0.1233</v>
      </c>
      <c r="L75" s="16">
        <v>0.0771</v>
      </c>
      <c r="M75" s="29">
        <v>1.0969</v>
      </c>
    </row>
    <row r="76" ht="15.6" customHeight="1" spans="1:13">
      <c r="A76" s="12" t="s">
        <v>449</v>
      </c>
      <c r="B76" s="13" t="s">
        <v>156</v>
      </c>
      <c r="C76" s="13" t="s">
        <v>1238</v>
      </c>
      <c r="D76" s="13" t="s">
        <v>1089</v>
      </c>
      <c r="E76" s="16" t="s">
        <v>1239</v>
      </c>
      <c r="F76" s="16">
        <v>-0.0086</v>
      </c>
      <c r="G76" s="16">
        <v>-0.0141</v>
      </c>
      <c r="H76" s="16">
        <v>0.0214</v>
      </c>
      <c r="I76" s="27">
        <v>0.0903</v>
      </c>
      <c r="J76" s="16">
        <v>0.0207</v>
      </c>
      <c r="K76" s="16">
        <v>0.0905</v>
      </c>
      <c r="L76" s="16">
        <v>0.0754</v>
      </c>
      <c r="M76" s="29">
        <v>0.9324</v>
      </c>
    </row>
    <row r="77" ht="15.6" customHeight="1" spans="1:13">
      <c r="A77" s="12" t="s">
        <v>643</v>
      </c>
      <c r="B77" s="13" t="s">
        <v>156</v>
      </c>
      <c r="C77" s="13" t="s">
        <v>1240</v>
      </c>
      <c r="D77" s="13" t="s">
        <v>1089</v>
      </c>
      <c r="E77" s="16" t="s">
        <v>1039</v>
      </c>
      <c r="F77" s="16">
        <v>-0.0095</v>
      </c>
      <c r="G77" s="16">
        <v>0.0308</v>
      </c>
      <c r="H77" s="16">
        <v>0.0482</v>
      </c>
      <c r="I77" s="27">
        <v>0.0884</v>
      </c>
      <c r="J77" s="16">
        <v>0.0251</v>
      </c>
      <c r="K77" s="16">
        <v>0.0949</v>
      </c>
      <c r="L77" s="16">
        <v>0.0623</v>
      </c>
      <c r="M77" s="29">
        <v>1.0982</v>
      </c>
    </row>
    <row r="78" ht="15.6" customHeight="1" spans="1:13">
      <c r="A78" s="12" t="s">
        <v>302</v>
      </c>
      <c r="B78" s="13" t="s">
        <v>156</v>
      </c>
      <c r="C78" s="13" t="s">
        <v>1241</v>
      </c>
      <c r="D78" s="13" t="s">
        <v>1089</v>
      </c>
      <c r="E78" s="16" t="s">
        <v>1242</v>
      </c>
      <c r="F78" s="16">
        <v>-0.0105</v>
      </c>
      <c r="G78" s="16">
        <v>0.0114</v>
      </c>
      <c r="H78" s="16">
        <v>0.0562</v>
      </c>
      <c r="I78" s="27">
        <v>0.081</v>
      </c>
      <c r="J78" s="16">
        <v>0.0316</v>
      </c>
      <c r="K78" s="16">
        <v>0.0825</v>
      </c>
      <c r="L78" s="16">
        <v>0.0586</v>
      </c>
      <c r="M78" s="29">
        <v>1.0399</v>
      </c>
    </row>
    <row r="79" ht="15.6" customHeight="1" spans="1:13">
      <c r="A79" s="12" t="s">
        <v>486</v>
      </c>
      <c r="B79" s="13" t="s">
        <v>217</v>
      </c>
      <c r="C79" s="13" t="s">
        <v>1243</v>
      </c>
      <c r="D79" s="13" t="s">
        <v>1089</v>
      </c>
      <c r="E79" s="16" t="s">
        <v>1244</v>
      </c>
      <c r="F79" s="16">
        <v>-0.0105</v>
      </c>
      <c r="G79" s="16">
        <v>-0.0026</v>
      </c>
      <c r="H79" s="16">
        <v>0.0266</v>
      </c>
      <c r="I79" s="27">
        <v>0.0047</v>
      </c>
      <c r="J79" s="16">
        <v>0.0318</v>
      </c>
      <c r="K79" s="16">
        <v>0.0755</v>
      </c>
      <c r="L79" s="16">
        <v>0.054</v>
      </c>
      <c r="M79" s="29">
        <v>-0.2831</v>
      </c>
    </row>
    <row r="80" ht="15.6" customHeight="1" spans="1:13">
      <c r="A80" s="12" t="s">
        <v>325</v>
      </c>
      <c r="B80" s="13" t="s">
        <v>54</v>
      </c>
      <c r="C80" s="13" t="s">
        <v>1245</v>
      </c>
      <c r="D80" s="13" t="s">
        <v>1124</v>
      </c>
      <c r="E80" s="16" t="s">
        <v>1246</v>
      </c>
      <c r="F80" s="16">
        <v>-0.0111</v>
      </c>
      <c r="G80" s="16">
        <v>0.0068</v>
      </c>
      <c r="H80" s="16">
        <v>0.0626</v>
      </c>
      <c r="I80" s="27">
        <v>0.1026</v>
      </c>
      <c r="J80" s="16">
        <v>0.0111</v>
      </c>
      <c r="K80" s="16">
        <v>0.0111</v>
      </c>
      <c r="L80" s="16">
        <v>0.0321</v>
      </c>
      <c r="M80" s="29">
        <v>2.5738</v>
      </c>
    </row>
    <row r="81" ht="15.6" customHeight="1" spans="1:13">
      <c r="A81" s="12" t="s">
        <v>649</v>
      </c>
      <c r="B81" s="13" t="s">
        <v>217</v>
      </c>
      <c r="C81" s="13" t="s">
        <v>1247</v>
      </c>
      <c r="D81" s="13" t="s">
        <v>1089</v>
      </c>
      <c r="E81" s="16" t="s">
        <v>1248</v>
      </c>
      <c r="F81" s="16">
        <v>-0.0115</v>
      </c>
      <c r="G81" s="16">
        <v>0.0134</v>
      </c>
      <c r="H81" s="16">
        <v>0.1222</v>
      </c>
      <c r="I81" s="27">
        <v>0.1395</v>
      </c>
      <c r="J81" s="16">
        <v>0.0148</v>
      </c>
      <c r="K81" s="16">
        <v>0.0367</v>
      </c>
      <c r="L81" s="16">
        <v>0.0648</v>
      </c>
      <c r="M81" s="29">
        <v>1.8431</v>
      </c>
    </row>
    <row r="82" ht="15.6" customHeight="1" spans="1:13">
      <c r="A82" s="12" t="s">
        <v>462</v>
      </c>
      <c r="B82" s="13" t="s">
        <v>61</v>
      </c>
      <c r="C82" s="13" t="s">
        <v>1249</v>
      </c>
      <c r="D82" s="13" t="s">
        <v>1089</v>
      </c>
      <c r="E82" s="16" t="s">
        <v>1250</v>
      </c>
      <c r="F82" s="16">
        <v>-0.0116</v>
      </c>
      <c r="G82" s="16">
        <v>-0.0179</v>
      </c>
      <c r="H82" s="16">
        <v>-0.0069</v>
      </c>
      <c r="I82" s="27">
        <v>0.0265</v>
      </c>
      <c r="J82" s="16">
        <v>0.0271</v>
      </c>
      <c r="K82" s="16">
        <v>0.1132</v>
      </c>
      <c r="L82" s="16">
        <v>0.0804</v>
      </c>
      <c r="M82" s="29">
        <v>0.0803</v>
      </c>
    </row>
    <row r="83" ht="15.6" customHeight="1" spans="1:13">
      <c r="A83" s="12" t="s">
        <v>337</v>
      </c>
      <c r="B83" s="13" t="s">
        <v>156</v>
      </c>
      <c r="C83" s="13" t="s">
        <v>1251</v>
      </c>
      <c r="D83" s="13" t="s">
        <v>1089</v>
      </c>
      <c r="E83" s="16" t="s">
        <v>1252</v>
      </c>
      <c r="F83" s="16">
        <v>-0.0117</v>
      </c>
      <c r="G83" s="16">
        <v>-0.0159</v>
      </c>
      <c r="H83" s="16">
        <v>0.0239</v>
      </c>
      <c r="I83" s="27">
        <v>0.0699</v>
      </c>
      <c r="J83" s="16">
        <v>0.0159</v>
      </c>
      <c r="K83" s="16">
        <v>0.0181</v>
      </c>
      <c r="L83" s="16">
        <v>0.0383</v>
      </c>
      <c r="M83" s="29">
        <v>1.3051</v>
      </c>
    </row>
    <row r="84" ht="15.6" customHeight="1" spans="1:13">
      <c r="A84" s="12" t="s">
        <v>1253</v>
      </c>
      <c r="B84" s="13" t="s">
        <v>156</v>
      </c>
      <c r="C84" s="13" t="s">
        <v>1254</v>
      </c>
      <c r="D84" s="13" t="s">
        <v>1089</v>
      </c>
      <c r="E84" s="16" t="s">
        <v>1255</v>
      </c>
      <c r="F84" s="16">
        <v>-0.0126</v>
      </c>
      <c r="G84" s="16">
        <v>0.0162</v>
      </c>
      <c r="H84" s="16"/>
      <c r="I84" s="27">
        <v>0.3026</v>
      </c>
      <c r="J84" s="16"/>
      <c r="K84" s="16">
        <v>0.0126</v>
      </c>
      <c r="L84" s="16">
        <v>0.0646</v>
      </c>
      <c r="M84" s="29">
        <v>4.3769</v>
      </c>
    </row>
    <row r="85" ht="15.6" customHeight="1" spans="1:13">
      <c r="A85" s="12" t="s">
        <v>694</v>
      </c>
      <c r="B85" s="13" t="s">
        <v>217</v>
      </c>
      <c r="C85" s="13" t="s">
        <v>1256</v>
      </c>
      <c r="D85" s="13" t="s">
        <v>1089</v>
      </c>
      <c r="E85" s="16" t="s">
        <v>1257</v>
      </c>
      <c r="F85" s="16">
        <v>-0.0155</v>
      </c>
      <c r="G85" s="16">
        <v>-0.0172</v>
      </c>
      <c r="H85" s="16">
        <v>-0.012</v>
      </c>
      <c r="I85" s="27">
        <v>0.0973</v>
      </c>
      <c r="J85" s="16">
        <v>0.0282</v>
      </c>
      <c r="K85" s="16">
        <v>0.0584</v>
      </c>
      <c r="L85" s="16">
        <v>0.0781</v>
      </c>
      <c r="M85" s="29">
        <v>0.9895</v>
      </c>
    </row>
    <row r="86" ht="15.6" customHeight="1" spans="1:13">
      <c r="A86" s="12" t="s">
        <v>816</v>
      </c>
      <c r="B86" s="13" t="s">
        <v>61</v>
      </c>
      <c r="C86" s="13" t="s">
        <v>1258</v>
      </c>
      <c r="D86" s="13" t="s">
        <v>1089</v>
      </c>
      <c r="E86" s="16" t="s">
        <v>1259</v>
      </c>
      <c r="F86" s="16">
        <v>-0.0156</v>
      </c>
      <c r="G86" s="16">
        <v>-0.0702</v>
      </c>
      <c r="H86" s="16">
        <v>-0.0333</v>
      </c>
      <c r="I86" s="27">
        <v>0.0154</v>
      </c>
      <c r="J86" s="16">
        <v>0.079</v>
      </c>
      <c r="K86" s="16">
        <v>0.1709</v>
      </c>
      <c r="L86" s="16">
        <v>0.0769</v>
      </c>
      <c r="M86" s="29">
        <v>-0.0596</v>
      </c>
    </row>
    <row r="87" ht="15.6" customHeight="1" spans="1:13">
      <c r="A87" s="12" t="s">
        <v>1260</v>
      </c>
      <c r="B87" s="13" t="s">
        <v>54</v>
      </c>
      <c r="C87" s="13" t="s">
        <v>1261</v>
      </c>
      <c r="D87" s="13" t="s">
        <v>1089</v>
      </c>
      <c r="E87" s="16" t="s">
        <v>1262</v>
      </c>
      <c r="F87" s="16">
        <v>-0.0156</v>
      </c>
      <c r="G87" s="16">
        <v>-0.008</v>
      </c>
      <c r="H87" s="16">
        <v>-0.0045</v>
      </c>
      <c r="I87" s="27">
        <v>0.0481</v>
      </c>
      <c r="J87" s="16">
        <v>0.0311</v>
      </c>
      <c r="K87" s="16">
        <v>0.0746</v>
      </c>
      <c r="L87" s="16">
        <v>0.0558</v>
      </c>
      <c r="M87" s="29">
        <v>0.5036</v>
      </c>
    </row>
    <row r="88" ht="15.6" customHeight="1" spans="1:13">
      <c r="A88" s="12" t="s">
        <v>707</v>
      </c>
      <c r="B88" s="13" t="s">
        <v>156</v>
      </c>
      <c r="C88" s="13" t="s">
        <v>1263</v>
      </c>
      <c r="D88" s="13" t="s">
        <v>1089</v>
      </c>
      <c r="E88" s="16" t="s">
        <v>1264</v>
      </c>
      <c r="F88" s="16">
        <v>-0.0169</v>
      </c>
      <c r="G88" s="16">
        <v>-0.0016</v>
      </c>
      <c r="H88" s="16">
        <v>-0.0162</v>
      </c>
      <c r="I88" s="27">
        <v>0.0645</v>
      </c>
      <c r="J88" s="16">
        <v>0.0486</v>
      </c>
      <c r="K88" s="16">
        <v>0.1002</v>
      </c>
      <c r="L88" s="16">
        <v>0.0652</v>
      </c>
      <c r="M88" s="29">
        <v>0.6828</v>
      </c>
    </row>
    <row r="89" ht="15.6" customHeight="1" spans="1:13">
      <c r="A89" s="12" t="s">
        <v>1075</v>
      </c>
      <c r="B89" s="13" t="s">
        <v>217</v>
      </c>
      <c r="C89" s="13" t="s">
        <v>1265</v>
      </c>
      <c r="D89" s="13" t="s">
        <v>1089</v>
      </c>
      <c r="E89" s="16" t="s">
        <v>1266</v>
      </c>
      <c r="F89" s="16">
        <v>-0.0171</v>
      </c>
      <c r="G89" s="16">
        <v>0.0236</v>
      </c>
      <c r="H89" s="16">
        <v>0.0866</v>
      </c>
      <c r="I89" s="27">
        <v>0.1473</v>
      </c>
      <c r="J89" s="16">
        <v>0.0318</v>
      </c>
      <c r="K89" s="16">
        <v>0.0358</v>
      </c>
      <c r="L89" s="16">
        <v>0.0658</v>
      </c>
      <c r="M89" s="29">
        <v>1.934</v>
      </c>
    </row>
    <row r="90" ht="15.6" customHeight="1" spans="1:13">
      <c r="A90" s="12" t="s">
        <v>888</v>
      </c>
      <c r="B90" s="13" t="s">
        <v>61</v>
      </c>
      <c r="C90" s="13" t="s">
        <v>1267</v>
      </c>
      <c r="D90" s="13" t="s">
        <v>1089</v>
      </c>
      <c r="E90" s="16" t="s">
        <v>506</v>
      </c>
      <c r="F90" s="16">
        <v>-0.0185</v>
      </c>
      <c r="G90" s="16">
        <v>-0.0313</v>
      </c>
      <c r="H90" s="16">
        <v>-0.1191</v>
      </c>
      <c r="I90" s="27">
        <v>0.0264</v>
      </c>
      <c r="J90" s="16">
        <v>0.1191</v>
      </c>
      <c r="K90" s="16">
        <v>0.1471</v>
      </c>
      <c r="L90" s="16">
        <v>0.0605</v>
      </c>
      <c r="M90" s="29">
        <v>0.1056</v>
      </c>
    </row>
    <row r="91" ht="15.6" customHeight="1" spans="1:13">
      <c r="A91" s="12" t="s">
        <v>522</v>
      </c>
      <c r="B91" s="13" t="s">
        <v>54</v>
      </c>
      <c r="C91" s="13" t="s">
        <v>1268</v>
      </c>
      <c r="D91" s="13" t="s">
        <v>1089</v>
      </c>
      <c r="E91" s="16" t="s">
        <v>955</v>
      </c>
      <c r="F91" s="16">
        <v>-0.0301</v>
      </c>
      <c r="G91" s="16">
        <v>0.0117</v>
      </c>
      <c r="H91" s="16">
        <v>0.1055</v>
      </c>
      <c r="I91" s="27">
        <v>0.1646</v>
      </c>
      <c r="J91" s="16">
        <v>0.0452</v>
      </c>
      <c r="K91" s="16">
        <v>0.0948</v>
      </c>
      <c r="L91" s="16">
        <v>0.1213</v>
      </c>
      <c r="M91" s="29">
        <v>1.1919</v>
      </c>
    </row>
    <row r="92" ht="15.6" customHeight="1" spans="1:13">
      <c r="A92" s="12" t="s">
        <v>1269</v>
      </c>
      <c r="B92" s="13" t="s">
        <v>30</v>
      </c>
      <c r="C92" s="13" t="s">
        <v>1270</v>
      </c>
      <c r="D92" s="13" t="s">
        <v>1089</v>
      </c>
      <c r="E92" s="16" t="s">
        <v>1271</v>
      </c>
      <c r="F92" s="16">
        <v>-0.0578</v>
      </c>
      <c r="G92" s="16">
        <v>-0.0237</v>
      </c>
      <c r="H92" s="16">
        <v>-0.0719</v>
      </c>
      <c r="I92" s="27">
        <v>0.1128</v>
      </c>
      <c r="J92" s="16">
        <v>0.1517</v>
      </c>
      <c r="K92" s="16">
        <v>0.1517</v>
      </c>
      <c r="L92" s="16">
        <v>0.195</v>
      </c>
      <c r="M92" s="29">
        <v>0.4759</v>
      </c>
    </row>
    <row r="93" ht="15.6" customHeight="1" spans="1:13">
      <c r="A93" s="12"/>
      <c r="B93" s="13"/>
      <c r="C93" s="13"/>
      <c r="D93" s="13"/>
      <c r="E93" s="16"/>
      <c r="F93" s="16"/>
      <c r="G93" s="16"/>
      <c r="H93" s="16"/>
      <c r="I93" s="29"/>
      <c r="J93" s="16"/>
      <c r="K93" s="16"/>
      <c r="L93" s="16"/>
      <c r="M93" s="29"/>
    </row>
    <row r="94" ht="15.6" customHeight="1" spans="1:13">
      <c r="A94" s="12"/>
      <c r="B94" s="13"/>
      <c r="C94" s="13"/>
      <c r="D94" s="13"/>
      <c r="E94" s="16"/>
      <c r="F94" s="16"/>
      <c r="G94" s="16"/>
      <c r="H94" s="16"/>
      <c r="I94" s="29"/>
      <c r="J94" s="16"/>
      <c r="K94" s="16"/>
      <c r="L94" s="16"/>
      <c r="M94" s="29"/>
    </row>
    <row r="95" ht="15.6" customHeight="1" spans="1:13">
      <c r="A95" s="12"/>
      <c r="B95" s="13"/>
      <c r="C95" s="13"/>
      <c r="D95" s="13"/>
      <c r="E95" s="16"/>
      <c r="F95" s="16"/>
      <c r="G95" s="16"/>
      <c r="H95" s="16"/>
      <c r="I95" s="29"/>
      <c r="J95" s="16"/>
      <c r="K95" s="16"/>
      <c r="L95" s="16"/>
      <c r="M95" s="29"/>
    </row>
    <row r="96" ht="15.6" customHeight="1" spans="1:13">
      <c r="A96" s="12"/>
      <c r="B96" s="13"/>
      <c r="C96" s="13"/>
      <c r="D96" s="13"/>
      <c r="E96" s="16"/>
      <c r="F96" s="16"/>
      <c r="G96" s="16"/>
      <c r="H96" s="16"/>
      <c r="I96" s="29"/>
      <c r="J96" s="16"/>
      <c r="K96" s="16"/>
      <c r="L96" s="16"/>
      <c r="M96" s="29"/>
    </row>
    <row r="97" ht="15.6" customHeight="1" spans="1:13">
      <c r="A97" s="12"/>
      <c r="B97" s="13"/>
      <c r="C97" s="13"/>
      <c r="D97" s="13"/>
      <c r="E97" s="16"/>
      <c r="F97" s="16"/>
      <c r="G97" s="16"/>
      <c r="H97" s="16"/>
      <c r="I97" s="29"/>
      <c r="J97" s="16"/>
      <c r="K97" s="16"/>
      <c r="L97" s="16"/>
      <c r="M97" s="29"/>
    </row>
    <row r="98" ht="15.6" customHeight="1" spans="1:13">
      <c r="A98" s="12"/>
      <c r="B98" s="13"/>
      <c r="C98" s="13"/>
      <c r="D98" s="13"/>
      <c r="E98" s="16"/>
      <c r="F98" s="16"/>
      <c r="G98" s="16"/>
      <c r="H98" s="16"/>
      <c r="I98" s="29"/>
      <c r="J98" s="16"/>
      <c r="K98" s="16"/>
      <c r="L98" s="16"/>
      <c r="M98" s="29"/>
    </row>
    <row r="99" ht="15.6" customHeight="1" spans="1:13">
      <c r="A99" s="12"/>
      <c r="B99" s="13"/>
      <c r="C99" s="13"/>
      <c r="D99" s="13"/>
      <c r="E99" s="16"/>
      <c r="F99" s="16"/>
      <c r="G99" s="16"/>
      <c r="H99" s="16"/>
      <c r="I99" s="29"/>
      <c r="J99" s="16"/>
      <c r="K99" s="16"/>
      <c r="L99" s="16"/>
      <c r="M99" s="29"/>
    </row>
    <row r="100" ht="15.6" customHeight="1" spans="1:13">
      <c r="A100" s="12"/>
      <c r="B100" s="13"/>
      <c r="C100" s="13"/>
      <c r="D100" s="13"/>
      <c r="E100" s="16"/>
      <c r="F100" s="16"/>
      <c r="G100" s="16"/>
      <c r="H100" s="16"/>
      <c r="I100" s="29"/>
      <c r="J100" s="16"/>
      <c r="K100" s="16"/>
      <c r="L100" s="16"/>
      <c r="M100" s="29"/>
    </row>
  </sheetData>
  <mergeCells count="4">
    <mergeCell ref="A1:B1"/>
    <mergeCell ref="C1:E1"/>
    <mergeCell ref="F1:I1"/>
    <mergeCell ref="J1:K1"/>
  </mergeCells>
  <conditionalFormatting sqref="A3:E100 J3:M100">
    <cfRule type="expression" dxfId="0" priority="2">
      <formula>MOD(ROW(),2)=0</formula>
    </cfRule>
  </conditionalFormatting>
  <conditionalFormatting sqref="F3:I100">
    <cfRule type="expression" dxfId="0" priority="1">
      <formula>MOD(ROW(),2)=0</formula>
    </cfRule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W100"/>
  <sheetViews>
    <sheetView workbookViewId="0">
      <pane ySplit="2" topLeftCell="A3" activePane="bottomLeft" state="frozen"/>
      <selection/>
      <selection pane="bottomLeft" activeCell="F4" sqref="F4"/>
    </sheetView>
  </sheetViews>
  <sheetFormatPr defaultColWidth="9" defaultRowHeight="14.4"/>
  <sheetData>
    <row r="1" ht="31.2" customHeight="1" spans="1:23">
      <c r="A1" s="1" t="s">
        <v>0</v>
      </c>
      <c r="B1" s="2"/>
      <c r="C1" s="3" t="s">
        <v>1</v>
      </c>
      <c r="D1" s="4"/>
      <c r="E1" s="5"/>
      <c r="F1" s="6" t="s">
        <v>2</v>
      </c>
      <c r="G1" s="7"/>
      <c r="H1" s="7"/>
      <c r="I1" s="2"/>
      <c r="J1" s="17" t="s">
        <v>3</v>
      </c>
      <c r="K1" s="2"/>
      <c r="L1" s="18" t="s">
        <v>4</v>
      </c>
      <c r="M1" s="19" t="s">
        <v>5</v>
      </c>
      <c r="N1" s="20" t="s">
        <v>6</v>
      </c>
      <c r="O1" s="21" t="s">
        <v>7</v>
      </c>
      <c r="P1" s="21" t="s">
        <v>8</v>
      </c>
      <c r="Q1" s="21" t="s">
        <v>9</v>
      </c>
      <c r="R1" s="30" t="s">
        <v>10</v>
      </c>
      <c r="S1" s="31" t="s">
        <v>11</v>
      </c>
      <c r="T1" s="32" t="s">
        <v>12</v>
      </c>
      <c r="U1" s="32" t="s">
        <v>13</v>
      </c>
      <c r="V1" s="32" t="s">
        <v>14</v>
      </c>
      <c r="W1" s="33" t="s">
        <v>15</v>
      </c>
    </row>
    <row r="2" ht="47.55" customHeight="1" spans="1:23">
      <c r="A2" s="8" t="s">
        <v>16</v>
      </c>
      <c r="B2" s="9" t="s">
        <v>17</v>
      </c>
      <c r="C2" s="10" t="s">
        <v>18</v>
      </c>
      <c r="D2" s="10" t="s">
        <v>19</v>
      </c>
      <c r="E2" s="10" t="s">
        <v>20</v>
      </c>
      <c r="F2" s="11" t="s">
        <v>21</v>
      </c>
      <c r="G2" s="11" t="s">
        <v>22</v>
      </c>
      <c r="H2" s="11" t="s">
        <v>23</v>
      </c>
      <c r="I2" s="11" t="s">
        <v>24</v>
      </c>
      <c r="J2" s="22" t="s">
        <v>25</v>
      </c>
      <c r="K2" s="22" t="s">
        <v>26</v>
      </c>
      <c r="L2" s="23" t="s">
        <v>27</v>
      </c>
      <c r="M2" s="24" t="s">
        <v>28</v>
      </c>
      <c r="N2" s="25">
        <f>QUARTILE(F3:F200,4)</f>
        <v>0.0531</v>
      </c>
      <c r="O2" s="26">
        <f>QUARTILE(F3:F200,3)</f>
        <v>0.029975</v>
      </c>
      <c r="P2" s="26">
        <f>QUARTILE(F3:F200,2)</f>
        <v>0.0256</v>
      </c>
      <c r="Q2" s="26">
        <f>QUARTILE(F3:F200,1)</f>
        <v>0.0094</v>
      </c>
      <c r="R2" s="34">
        <f>QUARTILE(F3:F200,0)</f>
        <v>-0.0578</v>
      </c>
      <c r="S2" s="25">
        <f>QUARTILE(H3:H200,4)</f>
        <v>0.1304</v>
      </c>
      <c r="T2" s="26">
        <f>QUARTILE(H3:H200,3)</f>
        <v>0.03795</v>
      </c>
      <c r="U2" s="26">
        <f>QUARTILE(H3:H200,2)</f>
        <v>0.0164</v>
      </c>
      <c r="V2" s="26">
        <f>QUARTILE(H3:H200,1)</f>
        <v>0.000699999999999999</v>
      </c>
      <c r="W2" s="34">
        <f>QUARTILE(H3:H200,0)</f>
        <v>-0.3025</v>
      </c>
    </row>
    <row r="3" ht="15.6" customHeight="1" spans="1:13">
      <c r="A3" s="12" t="s">
        <v>1272</v>
      </c>
      <c r="B3" s="13" t="s">
        <v>61</v>
      </c>
      <c r="C3" s="14" t="s">
        <v>1273</v>
      </c>
      <c r="D3" s="14" t="s">
        <v>1274</v>
      </c>
      <c r="E3" s="15" t="s">
        <v>1275</v>
      </c>
      <c r="F3" s="16">
        <v>0.0531</v>
      </c>
      <c r="G3" s="16">
        <v>0.03</v>
      </c>
      <c r="H3" s="16">
        <v>0.097</v>
      </c>
      <c r="I3" s="27">
        <v>0.1884</v>
      </c>
      <c r="J3" s="16">
        <v>0.0895</v>
      </c>
      <c r="K3" s="16">
        <v>0.0895</v>
      </c>
      <c r="L3" s="16">
        <v>0.1635</v>
      </c>
      <c r="M3" s="29">
        <v>1.0297</v>
      </c>
    </row>
    <row r="4" ht="15.6" customHeight="1" spans="1:13">
      <c r="A4" s="12" t="s">
        <v>1276</v>
      </c>
      <c r="B4" s="13" t="s">
        <v>54</v>
      </c>
      <c r="C4" s="13" t="s">
        <v>1277</v>
      </c>
      <c r="D4" s="13" t="s">
        <v>1274</v>
      </c>
      <c r="E4" s="16" t="s">
        <v>1278</v>
      </c>
      <c r="F4" s="16">
        <v>0.038</v>
      </c>
      <c r="G4" s="16">
        <v>-0.0067</v>
      </c>
      <c r="H4" s="16">
        <v>0.0111</v>
      </c>
      <c r="I4" s="27">
        <v>0.2004</v>
      </c>
      <c r="J4" s="16">
        <v>0.0889</v>
      </c>
      <c r="K4" s="16">
        <v>0.1205</v>
      </c>
      <c r="L4" s="16">
        <v>0.1464</v>
      </c>
      <c r="M4" s="29">
        <v>1.2325</v>
      </c>
    </row>
    <row r="5" ht="15.6" customHeight="1" spans="1:13">
      <c r="A5" s="12" t="s">
        <v>1276</v>
      </c>
      <c r="B5" s="13" t="s">
        <v>54</v>
      </c>
      <c r="C5" s="13" t="s">
        <v>1279</v>
      </c>
      <c r="D5" s="13" t="s">
        <v>1274</v>
      </c>
      <c r="E5" s="16" t="s">
        <v>1280</v>
      </c>
      <c r="F5" s="16">
        <v>0.0378</v>
      </c>
      <c r="G5" s="16">
        <v>-0.0059</v>
      </c>
      <c r="H5" s="16">
        <v>0.0087</v>
      </c>
      <c r="I5" s="27">
        <v>0.1717</v>
      </c>
      <c r="J5" s="16">
        <v>0.0906</v>
      </c>
      <c r="K5" s="16">
        <v>0.1194</v>
      </c>
      <c r="L5" s="16">
        <v>0.1418</v>
      </c>
      <c r="M5" s="29">
        <v>1.0702</v>
      </c>
    </row>
    <row r="6" ht="15.6" customHeight="1" spans="1:13">
      <c r="A6" s="12" t="s">
        <v>1281</v>
      </c>
      <c r="B6" s="13" t="s">
        <v>61</v>
      </c>
      <c r="C6" s="13" t="s">
        <v>1282</v>
      </c>
      <c r="D6" s="13" t="s">
        <v>1274</v>
      </c>
      <c r="E6" s="16" t="s">
        <v>959</v>
      </c>
      <c r="F6" s="16">
        <v>0.0327</v>
      </c>
      <c r="G6" s="16">
        <v>0.0016</v>
      </c>
      <c r="H6" s="16">
        <v>0.0162</v>
      </c>
      <c r="I6" s="27">
        <v>0.2262</v>
      </c>
      <c r="J6" s="16">
        <v>0.111</v>
      </c>
      <c r="K6" s="16">
        <v>0.111</v>
      </c>
      <c r="L6" s="16">
        <v>0.1432</v>
      </c>
      <c r="M6" s="29">
        <v>1.4405</v>
      </c>
    </row>
    <row r="7" ht="15.6" customHeight="1" spans="1:13">
      <c r="A7" s="12" t="s">
        <v>1283</v>
      </c>
      <c r="B7" s="13" t="s">
        <v>156</v>
      </c>
      <c r="C7" s="13" t="s">
        <v>1284</v>
      </c>
      <c r="D7" s="13" t="s">
        <v>1274</v>
      </c>
      <c r="E7" s="16" t="s">
        <v>1285</v>
      </c>
      <c r="F7" s="16">
        <v>0.0326</v>
      </c>
      <c r="G7" s="16">
        <v>-0.0062</v>
      </c>
      <c r="H7" s="16">
        <v>0.0131</v>
      </c>
      <c r="I7" s="27">
        <v>0.2446</v>
      </c>
      <c r="J7" s="16">
        <v>0.0701</v>
      </c>
      <c r="K7" s="16">
        <v>0.0701</v>
      </c>
      <c r="L7" s="16">
        <v>0.1359</v>
      </c>
      <c r="M7" s="29">
        <v>1.6534</v>
      </c>
    </row>
    <row r="8" ht="15.6" customHeight="1" spans="1:13">
      <c r="A8" s="12" t="s">
        <v>1286</v>
      </c>
      <c r="B8" s="13" t="s">
        <v>61</v>
      </c>
      <c r="C8" s="13" t="s">
        <v>1287</v>
      </c>
      <c r="D8" s="13" t="s">
        <v>1274</v>
      </c>
      <c r="E8" s="16" t="s">
        <v>1288</v>
      </c>
      <c r="F8" s="16">
        <v>0.0291</v>
      </c>
      <c r="G8" s="16">
        <v>0.0176</v>
      </c>
      <c r="H8" s="16">
        <v>0.082</v>
      </c>
      <c r="I8" s="27">
        <v>0.2586</v>
      </c>
      <c r="J8" s="16">
        <v>0.0667</v>
      </c>
      <c r="K8" s="16">
        <v>0.0838</v>
      </c>
      <c r="L8" s="16">
        <v>0.1345</v>
      </c>
      <c r="M8" s="29">
        <v>1.7742</v>
      </c>
    </row>
    <row r="9" ht="15.6" customHeight="1" spans="1:13">
      <c r="A9" s="12" t="s">
        <v>1289</v>
      </c>
      <c r="B9" s="13" t="s">
        <v>30</v>
      </c>
      <c r="C9" s="13" t="s">
        <v>1290</v>
      </c>
      <c r="D9" s="13" t="s">
        <v>1274</v>
      </c>
      <c r="E9" s="16" t="s">
        <v>1291</v>
      </c>
      <c r="F9" s="16">
        <v>0.0288</v>
      </c>
      <c r="G9" s="16">
        <v>0.0096</v>
      </c>
      <c r="H9" s="16">
        <v>0.0166</v>
      </c>
      <c r="I9" s="27">
        <v>0.1697</v>
      </c>
      <c r="J9" s="16">
        <v>0.0875</v>
      </c>
      <c r="K9" s="16">
        <v>0.0875</v>
      </c>
      <c r="L9" s="16">
        <v>0.1098</v>
      </c>
      <c r="M9" s="29">
        <v>1.3629</v>
      </c>
    </row>
    <row r="10" ht="15.6" customHeight="1" spans="1:13">
      <c r="A10" s="12" t="s">
        <v>1292</v>
      </c>
      <c r="B10" s="13" t="s">
        <v>30</v>
      </c>
      <c r="C10" s="13" t="s">
        <v>1293</v>
      </c>
      <c r="D10" s="13" t="s">
        <v>1274</v>
      </c>
      <c r="E10" s="16" t="s">
        <v>657</v>
      </c>
      <c r="F10" s="16">
        <v>0.0286</v>
      </c>
      <c r="G10" s="16">
        <v>-0.0333</v>
      </c>
      <c r="H10" s="16">
        <v>-0.0185</v>
      </c>
      <c r="I10" s="27">
        <v>0.0229</v>
      </c>
      <c r="J10" s="16">
        <v>0.1146</v>
      </c>
      <c r="K10" s="16">
        <v>0.2165</v>
      </c>
      <c r="L10" s="16">
        <v>0.1053</v>
      </c>
      <c r="M10" s="29">
        <v>0.0273</v>
      </c>
    </row>
    <row r="11" ht="15.6" customHeight="1" spans="1:13">
      <c r="A11" s="12" t="s">
        <v>1294</v>
      </c>
      <c r="B11" s="13" t="s">
        <v>217</v>
      </c>
      <c r="C11" s="13" t="s">
        <v>1295</v>
      </c>
      <c r="D11" s="13" t="s">
        <v>1274</v>
      </c>
      <c r="E11" s="16" t="s">
        <v>1296</v>
      </c>
      <c r="F11" s="16">
        <v>0.028</v>
      </c>
      <c r="G11" s="16">
        <v>-0.0071</v>
      </c>
      <c r="H11" s="16">
        <v>0.0183</v>
      </c>
      <c r="I11" s="27">
        <v>0.1212</v>
      </c>
      <c r="J11" s="16">
        <v>0.0859</v>
      </c>
      <c r="K11" s="16">
        <v>0.1571</v>
      </c>
      <c r="L11" s="16">
        <v>0.0997</v>
      </c>
      <c r="M11" s="29">
        <v>1.0148</v>
      </c>
    </row>
    <row r="12" ht="15.6" customHeight="1" spans="1:13">
      <c r="A12" s="12" t="s">
        <v>1297</v>
      </c>
      <c r="B12" s="13" t="s">
        <v>30</v>
      </c>
      <c r="C12" s="13" t="s">
        <v>1298</v>
      </c>
      <c r="D12" s="13" t="s">
        <v>1274</v>
      </c>
      <c r="E12" s="16" t="s">
        <v>1299</v>
      </c>
      <c r="F12" s="16">
        <v>0.0258</v>
      </c>
      <c r="G12" s="16">
        <v>0.0047</v>
      </c>
      <c r="H12" s="16">
        <v>0.02</v>
      </c>
      <c r="I12" s="27">
        <v>0.1001</v>
      </c>
      <c r="J12" s="16">
        <v>0.0606</v>
      </c>
      <c r="K12" s="16">
        <v>0.1047</v>
      </c>
      <c r="L12" s="16">
        <v>0.0864</v>
      </c>
      <c r="M12" s="29">
        <v>0.927</v>
      </c>
    </row>
    <row r="13" ht="15.6" customHeight="1" spans="1:13">
      <c r="A13" s="12" t="s">
        <v>398</v>
      </c>
      <c r="B13" s="13" t="s">
        <v>30</v>
      </c>
      <c r="C13" s="13" t="s">
        <v>1300</v>
      </c>
      <c r="D13" s="13" t="s">
        <v>1274</v>
      </c>
      <c r="E13" s="16" t="s">
        <v>1301</v>
      </c>
      <c r="F13" s="16">
        <v>0.0254</v>
      </c>
      <c r="G13" s="16">
        <v>0.038</v>
      </c>
      <c r="H13" s="16">
        <v>0.1304</v>
      </c>
      <c r="I13" s="27">
        <v>0.3283</v>
      </c>
      <c r="J13" s="16">
        <v>0.0819</v>
      </c>
      <c r="K13" s="16">
        <v>0.0819</v>
      </c>
      <c r="L13" s="16">
        <v>0.2274</v>
      </c>
      <c r="M13" s="29">
        <v>1.3555</v>
      </c>
    </row>
    <row r="14" ht="15.6" customHeight="1" spans="1:13">
      <c r="A14" s="12" t="s">
        <v>304</v>
      </c>
      <c r="B14" s="13" t="s">
        <v>54</v>
      </c>
      <c r="C14" s="13" t="s">
        <v>1302</v>
      </c>
      <c r="D14" s="13" t="s">
        <v>1274</v>
      </c>
      <c r="E14" s="16" t="s">
        <v>1303</v>
      </c>
      <c r="F14" s="16">
        <v>0.0249</v>
      </c>
      <c r="G14" s="16">
        <v>0.0048</v>
      </c>
      <c r="H14" s="16">
        <v>0.0245</v>
      </c>
      <c r="I14" s="27">
        <v>0.2192</v>
      </c>
      <c r="J14" s="16">
        <v>0.0619</v>
      </c>
      <c r="K14" s="16">
        <v>0.0866</v>
      </c>
      <c r="L14" s="16">
        <v>0.1134</v>
      </c>
      <c r="M14" s="29">
        <v>1.7575</v>
      </c>
    </row>
    <row r="15" ht="15.6" customHeight="1" spans="1:13">
      <c r="A15" s="12" t="s">
        <v>1304</v>
      </c>
      <c r="B15" s="13" t="s">
        <v>30</v>
      </c>
      <c r="C15" s="13" t="s">
        <v>1305</v>
      </c>
      <c r="D15" s="13" t="s">
        <v>1274</v>
      </c>
      <c r="E15" s="16" t="s">
        <v>974</v>
      </c>
      <c r="F15" s="16">
        <v>0.0209</v>
      </c>
      <c r="G15" s="16">
        <v>0.0383</v>
      </c>
      <c r="H15" s="16">
        <v>0.0215</v>
      </c>
      <c r="I15" s="27">
        <v>0.259</v>
      </c>
      <c r="J15" s="16">
        <v>0.1199</v>
      </c>
      <c r="K15" s="16">
        <v>0.1199</v>
      </c>
      <c r="L15" s="16">
        <v>0.134</v>
      </c>
      <c r="M15" s="29">
        <v>1.7834</v>
      </c>
    </row>
    <row r="16" ht="15.6" customHeight="1" spans="1:13">
      <c r="A16" s="12" t="s">
        <v>138</v>
      </c>
      <c r="B16" s="13" t="s">
        <v>30</v>
      </c>
      <c r="C16" s="13" t="s">
        <v>1306</v>
      </c>
      <c r="D16" s="13" t="s">
        <v>1274</v>
      </c>
      <c r="E16" s="16" t="s">
        <v>1307</v>
      </c>
      <c r="F16" s="16">
        <v>0.0104</v>
      </c>
      <c r="G16" s="16">
        <v>-0.004</v>
      </c>
      <c r="H16" s="16">
        <v>-0.0597</v>
      </c>
      <c r="I16" s="27">
        <v>0.1099</v>
      </c>
      <c r="J16" s="16">
        <v>0.1092</v>
      </c>
      <c r="K16" s="16">
        <v>0.1092</v>
      </c>
      <c r="L16" s="16">
        <v>0.1226</v>
      </c>
      <c r="M16" s="29">
        <v>0.7333</v>
      </c>
    </row>
    <row r="17" ht="15.6" customHeight="1" spans="1:13">
      <c r="A17" s="12" t="s">
        <v>838</v>
      </c>
      <c r="B17" s="13" t="s">
        <v>54</v>
      </c>
      <c r="C17" s="13" t="s">
        <v>1308</v>
      </c>
      <c r="D17" s="13" t="s">
        <v>1274</v>
      </c>
      <c r="E17" s="16" t="s">
        <v>1309</v>
      </c>
      <c r="F17" s="16">
        <v>0.0102</v>
      </c>
      <c r="G17" s="16">
        <v>-0.0023</v>
      </c>
      <c r="H17" s="16">
        <v>-0.0198</v>
      </c>
      <c r="I17" s="27">
        <v>0.0697</v>
      </c>
      <c r="J17" s="16">
        <v>0.0427</v>
      </c>
      <c r="K17" s="16">
        <v>0.0603</v>
      </c>
      <c r="L17" s="16">
        <v>0.059</v>
      </c>
      <c r="M17" s="29">
        <v>0.8424</v>
      </c>
    </row>
    <row r="18" ht="15.6" customHeight="1" spans="1:13">
      <c r="A18" s="12" t="s">
        <v>1310</v>
      </c>
      <c r="B18" s="13" t="s">
        <v>61</v>
      </c>
      <c r="C18" s="13" t="s">
        <v>1311</v>
      </c>
      <c r="D18" s="13" t="s">
        <v>1274</v>
      </c>
      <c r="E18" s="16" t="s">
        <v>1312</v>
      </c>
      <c r="F18" s="16">
        <v>0.007</v>
      </c>
      <c r="G18" s="16">
        <v>0.0223</v>
      </c>
      <c r="H18" s="16">
        <v>0.1016</v>
      </c>
      <c r="I18" s="27">
        <v>0.1893</v>
      </c>
      <c r="J18" s="16">
        <v>0.0481</v>
      </c>
      <c r="K18" s="16">
        <v>0.1628</v>
      </c>
      <c r="L18" s="16">
        <v>0.1163</v>
      </c>
      <c r="M18" s="29">
        <v>1.4558</v>
      </c>
    </row>
    <row r="19" ht="15.6" customHeight="1" spans="1:13">
      <c r="A19" s="12" t="s">
        <v>1313</v>
      </c>
      <c r="B19" s="13" t="s">
        <v>30</v>
      </c>
      <c r="C19" s="13" t="s">
        <v>1314</v>
      </c>
      <c r="D19" s="13" t="s">
        <v>1274</v>
      </c>
      <c r="E19" s="16" t="s">
        <v>1315</v>
      </c>
      <c r="F19" s="16">
        <v>0.0035</v>
      </c>
      <c r="G19" s="16">
        <v>0.0015</v>
      </c>
      <c r="H19" s="16">
        <v>-0.0257</v>
      </c>
      <c r="I19" s="27">
        <v>0.0251</v>
      </c>
      <c r="J19" s="16">
        <v>0.067</v>
      </c>
      <c r="K19" s="16">
        <v>0.0723</v>
      </c>
      <c r="L19" s="16">
        <v>0.0657</v>
      </c>
      <c r="M19" s="29">
        <v>0.0778</v>
      </c>
    </row>
    <row r="20" ht="15.6" customHeight="1" spans="1:13">
      <c r="A20" s="12" t="s">
        <v>528</v>
      </c>
      <c r="B20" s="13" t="s">
        <v>30</v>
      </c>
      <c r="C20" s="13" t="s">
        <v>1316</v>
      </c>
      <c r="D20" s="13" t="s">
        <v>1274</v>
      </c>
      <c r="E20" s="16" t="s">
        <v>717</v>
      </c>
      <c r="F20" s="16">
        <v>0.0024</v>
      </c>
      <c r="G20" s="16">
        <v>0.0025</v>
      </c>
      <c r="H20" s="16">
        <v>0.0783</v>
      </c>
      <c r="I20" s="27">
        <v>0.2825</v>
      </c>
      <c r="J20" s="16">
        <v>0.0571</v>
      </c>
      <c r="K20" s="16">
        <v>0.0738</v>
      </c>
      <c r="L20" s="16">
        <v>0.1501</v>
      </c>
      <c r="M20" s="29">
        <v>1.749</v>
      </c>
    </row>
    <row r="21" ht="15.6" customHeight="1" spans="1:13">
      <c r="A21" s="12" t="s">
        <v>1317</v>
      </c>
      <c r="B21" s="13" t="s">
        <v>217</v>
      </c>
      <c r="C21" s="13" t="s">
        <v>1318</v>
      </c>
      <c r="D21" s="13" t="s">
        <v>1274</v>
      </c>
      <c r="E21" s="16" t="s">
        <v>1319</v>
      </c>
      <c r="F21" s="16">
        <v>-0.0047</v>
      </c>
      <c r="G21" s="16">
        <v>-0.0121</v>
      </c>
      <c r="H21" s="16">
        <v>0.0071</v>
      </c>
      <c r="I21" s="27">
        <v>0.1109</v>
      </c>
      <c r="J21" s="16">
        <v>0.0546</v>
      </c>
      <c r="K21" s="16">
        <v>0.2369</v>
      </c>
      <c r="L21" s="16">
        <v>0.1276</v>
      </c>
      <c r="M21" s="29">
        <v>0.7123</v>
      </c>
    </row>
    <row r="22" ht="15.6" customHeight="1" spans="1:13">
      <c r="A22" s="12" t="s">
        <v>118</v>
      </c>
      <c r="B22" s="13" t="s">
        <v>54</v>
      </c>
      <c r="C22" s="13" t="s">
        <v>1320</v>
      </c>
      <c r="D22" s="13" t="s">
        <v>1274</v>
      </c>
      <c r="E22" s="16" t="s">
        <v>1321</v>
      </c>
      <c r="F22" s="16">
        <v>-0.0578</v>
      </c>
      <c r="G22" s="16">
        <v>0.0919</v>
      </c>
      <c r="H22" s="16">
        <v>-0.3025</v>
      </c>
      <c r="I22" s="27">
        <v>0.2161</v>
      </c>
      <c r="J22" s="16">
        <v>0.4845</v>
      </c>
      <c r="K22" s="16">
        <v>0.4845</v>
      </c>
      <c r="L22" s="16">
        <v>0.4378</v>
      </c>
      <c r="M22" s="29">
        <v>0.4478</v>
      </c>
    </row>
    <row r="23" ht="15.6" customHeight="1" spans="1:13">
      <c r="A23" s="12"/>
      <c r="B23" s="13"/>
      <c r="C23" s="13"/>
      <c r="D23" s="13"/>
      <c r="E23" s="16"/>
      <c r="F23" s="16"/>
      <c r="G23" s="16"/>
      <c r="H23" s="16"/>
      <c r="I23" s="29"/>
      <c r="J23" s="16"/>
      <c r="K23" s="16"/>
      <c r="L23" s="16"/>
      <c r="M23" s="29"/>
    </row>
    <row r="24" ht="15.6" customHeight="1" spans="1:13">
      <c r="A24" s="12"/>
      <c r="B24" s="13"/>
      <c r="C24" s="13"/>
      <c r="D24" s="13"/>
      <c r="E24" s="16"/>
      <c r="F24" s="16"/>
      <c r="G24" s="16"/>
      <c r="H24" s="16"/>
      <c r="I24" s="29"/>
      <c r="J24" s="16"/>
      <c r="K24" s="16"/>
      <c r="L24" s="16"/>
      <c r="M24" s="29"/>
    </row>
    <row r="25" ht="15.6" customHeight="1" spans="1:13">
      <c r="A25" s="12"/>
      <c r="B25" s="13"/>
      <c r="C25" s="13"/>
      <c r="D25" s="13"/>
      <c r="E25" s="16"/>
      <c r="F25" s="16"/>
      <c r="G25" s="16"/>
      <c r="H25" s="16"/>
      <c r="I25" s="29"/>
      <c r="J25" s="16"/>
      <c r="K25" s="16"/>
      <c r="L25" s="16"/>
      <c r="M25" s="29"/>
    </row>
    <row r="26" ht="15.6" customHeight="1" spans="1:13">
      <c r="A26" s="12"/>
      <c r="B26" s="13"/>
      <c r="C26" s="13"/>
      <c r="D26" s="13"/>
      <c r="E26" s="16"/>
      <c r="F26" s="16"/>
      <c r="G26" s="16"/>
      <c r="H26" s="16"/>
      <c r="I26" s="29"/>
      <c r="J26" s="16"/>
      <c r="K26" s="16"/>
      <c r="L26" s="16"/>
      <c r="M26" s="29"/>
    </row>
    <row r="27" ht="15.6" customHeight="1" spans="1:13">
      <c r="A27" s="12"/>
      <c r="B27" s="13"/>
      <c r="C27" s="13"/>
      <c r="D27" s="13"/>
      <c r="E27" s="16"/>
      <c r="F27" s="16"/>
      <c r="G27" s="16"/>
      <c r="H27" s="16"/>
      <c r="I27" s="29"/>
      <c r="J27" s="16"/>
      <c r="K27" s="16"/>
      <c r="L27" s="16"/>
      <c r="M27" s="29"/>
    </row>
    <row r="28" ht="15.6" customHeight="1" spans="1:13">
      <c r="A28" s="12"/>
      <c r="B28" s="13"/>
      <c r="C28" s="13"/>
      <c r="D28" s="13"/>
      <c r="E28" s="16"/>
      <c r="F28" s="16"/>
      <c r="G28" s="16"/>
      <c r="H28" s="16"/>
      <c r="I28" s="29"/>
      <c r="J28" s="16"/>
      <c r="K28" s="16"/>
      <c r="L28" s="16"/>
      <c r="M28" s="29"/>
    </row>
    <row r="29" ht="15.6" customHeight="1" spans="1:13">
      <c r="A29" s="12"/>
      <c r="B29" s="13"/>
      <c r="C29" s="13"/>
      <c r="D29" s="13"/>
      <c r="E29" s="16"/>
      <c r="F29" s="16"/>
      <c r="G29" s="16"/>
      <c r="H29" s="16"/>
      <c r="I29" s="29"/>
      <c r="J29" s="16"/>
      <c r="K29" s="16"/>
      <c r="L29" s="16"/>
      <c r="M29" s="29"/>
    </row>
    <row r="30" ht="15.6" customHeight="1" spans="1:13">
      <c r="A30" s="12"/>
      <c r="B30" s="13"/>
      <c r="C30" s="13"/>
      <c r="D30" s="13"/>
      <c r="E30" s="16"/>
      <c r="F30" s="16"/>
      <c r="G30" s="16"/>
      <c r="H30" s="16"/>
      <c r="I30" s="29"/>
      <c r="J30" s="16"/>
      <c r="K30" s="16"/>
      <c r="L30" s="16"/>
      <c r="M30" s="29"/>
    </row>
    <row r="31" ht="15.6" customHeight="1" spans="1:13">
      <c r="A31" s="12"/>
      <c r="B31" s="13"/>
      <c r="C31" s="13"/>
      <c r="D31" s="13"/>
      <c r="E31" s="16"/>
      <c r="F31" s="16"/>
      <c r="G31" s="16"/>
      <c r="H31" s="16"/>
      <c r="I31" s="29"/>
      <c r="J31" s="16"/>
      <c r="K31" s="16"/>
      <c r="L31" s="16"/>
      <c r="M31" s="29"/>
    </row>
    <row r="32" ht="15.6" customHeight="1" spans="1:13">
      <c r="A32" s="12"/>
      <c r="B32" s="13"/>
      <c r="C32" s="13"/>
      <c r="D32" s="13"/>
      <c r="E32" s="16"/>
      <c r="F32" s="16"/>
      <c r="G32" s="16"/>
      <c r="H32" s="16"/>
      <c r="I32" s="29"/>
      <c r="J32" s="16"/>
      <c r="K32" s="16"/>
      <c r="L32" s="16"/>
      <c r="M32" s="29"/>
    </row>
    <row r="33" ht="15.6" customHeight="1" spans="1:13">
      <c r="A33" s="12"/>
      <c r="B33" s="13"/>
      <c r="C33" s="13"/>
      <c r="D33" s="13"/>
      <c r="E33" s="16"/>
      <c r="F33" s="16"/>
      <c r="G33" s="16"/>
      <c r="H33" s="16"/>
      <c r="I33" s="29"/>
      <c r="J33" s="16"/>
      <c r="K33" s="16"/>
      <c r="L33" s="16"/>
      <c r="M33" s="29"/>
    </row>
    <row r="34" ht="15.6" customHeight="1" spans="1:13">
      <c r="A34" s="12"/>
      <c r="B34" s="13"/>
      <c r="C34" s="13"/>
      <c r="D34" s="13"/>
      <c r="E34" s="16"/>
      <c r="F34" s="16"/>
      <c r="G34" s="16"/>
      <c r="H34" s="16"/>
      <c r="I34" s="29"/>
      <c r="J34" s="16"/>
      <c r="K34" s="16"/>
      <c r="L34" s="16"/>
      <c r="M34" s="29"/>
    </row>
    <row r="35" ht="15.6" customHeight="1" spans="1:13">
      <c r="A35" s="12"/>
      <c r="B35" s="13"/>
      <c r="C35" s="13"/>
      <c r="D35" s="13"/>
      <c r="E35" s="16"/>
      <c r="F35" s="16"/>
      <c r="G35" s="16"/>
      <c r="H35" s="16"/>
      <c r="I35" s="29"/>
      <c r="J35" s="16"/>
      <c r="K35" s="16"/>
      <c r="L35" s="16"/>
      <c r="M35" s="29"/>
    </row>
    <row r="36" ht="15.6" customHeight="1" spans="1:13">
      <c r="A36" s="12"/>
      <c r="B36" s="13"/>
      <c r="C36" s="13"/>
      <c r="D36" s="13"/>
      <c r="E36" s="16"/>
      <c r="F36" s="16"/>
      <c r="G36" s="16"/>
      <c r="H36" s="16"/>
      <c r="I36" s="29"/>
      <c r="J36" s="16"/>
      <c r="K36" s="16"/>
      <c r="L36" s="16"/>
      <c r="M36" s="29"/>
    </row>
    <row r="37" ht="15.6" customHeight="1" spans="1:13">
      <c r="A37" s="12"/>
      <c r="B37" s="13"/>
      <c r="C37" s="13"/>
      <c r="D37" s="13"/>
      <c r="E37" s="16"/>
      <c r="F37" s="16"/>
      <c r="G37" s="16"/>
      <c r="H37" s="16"/>
      <c r="I37" s="29"/>
      <c r="J37" s="16"/>
      <c r="K37" s="16"/>
      <c r="L37" s="16"/>
      <c r="M37" s="29"/>
    </row>
    <row r="38" ht="15.6" customHeight="1" spans="1:13">
      <c r="A38" s="12"/>
      <c r="B38" s="13"/>
      <c r="C38" s="13"/>
      <c r="D38" s="13"/>
      <c r="E38" s="16"/>
      <c r="F38" s="16"/>
      <c r="G38" s="16"/>
      <c r="H38" s="16"/>
      <c r="I38" s="29"/>
      <c r="J38" s="16"/>
      <c r="K38" s="16"/>
      <c r="L38" s="16"/>
      <c r="M38" s="29"/>
    </row>
    <row r="39" ht="15.6" customHeight="1" spans="1:13">
      <c r="A39" s="12"/>
      <c r="B39" s="13"/>
      <c r="C39" s="13"/>
      <c r="D39" s="13"/>
      <c r="E39" s="16"/>
      <c r="F39" s="16"/>
      <c r="G39" s="16"/>
      <c r="H39" s="16"/>
      <c r="I39" s="29"/>
      <c r="J39" s="16"/>
      <c r="K39" s="16"/>
      <c r="L39" s="16"/>
      <c r="M39" s="29"/>
    </row>
    <row r="40" ht="15.6" customHeight="1" spans="1:13">
      <c r="A40" s="12"/>
      <c r="B40" s="13"/>
      <c r="C40" s="13"/>
      <c r="D40" s="13"/>
      <c r="E40" s="16"/>
      <c r="F40" s="16"/>
      <c r="G40" s="16"/>
      <c r="H40" s="16"/>
      <c r="I40" s="29"/>
      <c r="J40" s="16"/>
      <c r="K40" s="16"/>
      <c r="L40" s="16"/>
      <c r="M40" s="29"/>
    </row>
    <row r="41" ht="15.6" customHeight="1" spans="1:13">
      <c r="A41" s="12"/>
      <c r="B41" s="13"/>
      <c r="C41" s="13"/>
      <c r="D41" s="13"/>
      <c r="E41" s="16"/>
      <c r="F41" s="16"/>
      <c r="G41" s="16"/>
      <c r="H41" s="16"/>
      <c r="I41" s="29"/>
      <c r="J41" s="16"/>
      <c r="K41" s="16"/>
      <c r="L41" s="16"/>
      <c r="M41" s="29"/>
    </row>
    <row r="42" ht="15.6" customHeight="1" spans="1:13">
      <c r="A42" s="12"/>
      <c r="B42" s="13"/>
      <c r="C42" s="13"/>
      <c r="D42" s="13"/>
      <c r="E42" s="16"/>
      <c r="F42" s="16"/>
      <c r="G42" s="16"/>
      <c r="H42" s="16"/>
      <c r="I42" s="29"/>
      <c r="J42" s="16"/>
      <c r="K42" s="16"/>
      <c r="L42" s="16"/>
      <c r="M42" s="29"/>
    </row>
    <row r="43" ht="15.6" customHeight="1" spans="1:13">
      <c r="A43" s="12"/>
      <c r="B43" s="13"/>
      <c r="C43" s="13"/>
      <c r="D43" s="13"/>
      <c r="E43" s="16"/>
      <c r="F43" s="16"/>
      <c r="G43" s="16"/>
      <c r="H43" s="16"/>
      <c r="I43" s="29"/>
      <c r="J43" s="16"/>
      <c r="K43" s="16"/>
      <c r="L43" s="16"/>
      <c r="M43" s="29"/>
    </row>
    <row r="44" ht="15.6" customHeight="1" spans="1:13">
      <c r="A44" s="12"/>
      <c r="B44" s="13"/>
      <c r="C44" s="13"/>
      <c r="D44" s="13"/>
      <c r="E44" s="16"/>
      <c r="F44" s="16"/>
      <c r="G44" s="16"/>
      <c r="H44" s="16"/>
      <c r="I44" s="29"/>
      <c r="J44" s="16"/>
      <c r="K44" s="16"/>
      <c r="L44" s="16"/>
      <c r="M44" s="29"/>
    </row>
    <row r="45" ht="15.6" customHeight="1" spans="1:13">
      <c r="A45" s="12"/>
      <c r="B45" s="13"/>
      <c r="C45" s="13"/>
      <c r="D45" s="13"/>
      <c r="E45" s="16"/>
      <c r="F45" s="16"/>
      <c r="G45" s="16"/>
      <c r="H45" s="16"/>
      <c r="I45" s="29"/>
      <c r="J45" s="16"/>
      <c r="K45" s="16"/>
      <c r="L45" s="16"/>
      <c r="M45" s="29"/>
    </row>
    <row r="46" ht="15.6" customHeight="1" spans="1:13">
      <c r="A46" s="12"/>
      <c r="B46" s="13"/>
      <c r="C46" s="13"/>
      <c r="D46" s="13"/>
      <c r="E46" s="16"/>
      <c r="F46" s="16"/>
      <c r="G46" s="16"/>
      <c r="H46" s="16"/>
      <c r="I46" s="29"/>
      <c r="J46" s="16"/>
      <c r="K46" s="16"/>
      <c r="L46" s="16"/>
      <c r="M46" s="29"/>
    </row>
    <row r="47" ht="15.6" customHeight="1" spans="1:13">
      <c r="A47" s="12"/>
      <c r="B47" s="13"/>
      <c r="C47" s="13"/>
      <c r="D47" s="13"/>
      <c r="E47" s="16"/>
      <c r="F47" s="16"/>
      <c r="G47" s="16"/>
      <c r="H47" s="16"/>
      <c r="I47" s="29"/>
      <c r="J47" s="16"/>
      <c r="K47" s="16"/>
      <c r="L47" s="16"/>
      <c r="M47" s="29"/>
    </row>
    <row r="48" ht="15.6" customHeight="1" spans="1:13">
      <c r="A48" s="12"/>
      <c r="B48" s="13"/>
      <c r="C48" s="13"/>
      <c r="D48" s="13"/>
      <c r="E48" s="16"/>
      <c r="F48" s="16"/>
      <c r="G48" s="16"/>
      <c r="H48" s="16"/>
      <c r="I48" s="29"/>
      <c r="J48" s="16"/>
      <c r="K48" s="16"/>
      <c r="L48" s="16"/>
      <c r="M48" s="29"/>
    </row>
    <row r="49" ht="15.6" customHeight="1" spans="1:13">
      <c r="A49" s="12"/>
      <c r="B49" s="13"/>
      <c r="C49" s="13"/>
      <c r="D49" s="13"/>
      <c r="E49" s="16"/>
      <c r="F49" s="16"/>
      <c r="G49" s="16"/>
      <c r="H49" s="16"/>
      <c r="I49" s="29"/>
      <c r="J49" s="16"/>
      <c r="K49" s="16"/>
      <c r="L49" s="16"/>
      <c r="M49" s="29"/>
    </row>
    <row r="50" ht="15.6" customHeight="1" spans="1:13">
      <c r="A50" s="12"/>
      <c r="B50" s="13"/>
      <c r="C50" s="13"/>
      <c r="D50" s="13"/>
      <c r="E50" s="16"/>
      <c r="F50" s="16"/>
      <c r="G50" s="16"/>
      <c r="H50" s="16"/>
      <c r="I50" s="29"/>
      <c r="J50" s="16"/>
      <c r="K50" s="16"/>
      <c r="L50" s="16"/>
      <c r="M50" s="29"/>
    </row>
    <row r="51" ht="15.6" customHeight="1" spans="1:13">
      <c r="A51" s="12"/>
      <c r="B51" s="13"/>
      <c r="C51" s="13"/>
      <c r="D51" s="13"/>
      <c r="E51" s="16"/>
      <c r="F51" s="16"/>
      <c r="G51" s="16"/>
      <c r="H51" s="16"/>
      <c r="I51" s="29"/>
      <c r="J51" s="16"/>
      <c r="K51" s="16"/>
      <c r="L51" s="16"/>
      <c r="M51" s="29"/>
    </row>
    <row r="52" ht="15.6" customHeight="1" spans="1:13">
      <c r="A52" s="12"/>
      <c r="B52" s="13"/>
      <c r="C52" s="13"/>
      <c r="D52" s="13"/>
      <c r="E52" s="16"/>
      <c r="F52" s="16"/>
      <c r="G52" s="16"/>
      <c r="H52" s="16"/>
      <c r="I52" s="29"/>
      <c r="J52" s="16"/>
      <c r="K52" s="16"/>
      <c r="L52" s="16"/>
      <c r="M52" s="29"/>
    </row>
    <row r="53" ht="15.6" customHeight="1" spans="1:13">
      <c r="A53" s="12"/>
      <c r="B53" s="13"/>
      <c r="C53" s="13"/>
      <c r="D53" s="13"/>
      <c r="E53" s="16"/>
      <c r="F53" s="16"/>
      <c r="G53" s="16"/>
      <c r="H53" s="16"/>
      <c r="I53" s="29"/>
      <c r="J53" s="16"/>
      <c r="K53" s="16"/>
      <c r="L53" s="16"/>
      <c r="M53" s="29"/>
    </row>
    <row r="54" ht="15.6" customHeight="1" spans="1:13">
      <c r="A54" s="12"/>
      <c r="B54" s="13"/>
      <c r="C54" s="13"/>
      <c r="D54" s="13"/>
      <c r="E54" s="16"/>
      <c r="F54" s="16"/>
      <c r="G54" s="16"/>
      <c r="H54" s="16"/>
      <c r="I54" s="29"/>
      <c r="J54" s="16"/>
      <c r="K54" s="16"/>
      <c r="L54" s="16"/>
      <c r="M54" s="29"/>
    </row>
    <row r="55" ht="15.6" customHeight="1" spans="1:13">
      <c r="A55" s="12"/>
      <c r="B55" s="13"/>
      <c r="C55" s="13"/>
      <c r="D55" s="13"/>
      <c r="E55" s="16"/>
      <c r="F55" s="16"/>
      <c r="G55" s="16"/>
      <c r="H55" s="16"/>
      <c r="I55" s="29"/>
      <c r="J55" s="16"/>
      <c r="K55" s="16"/>
      <c r="L55" s="16"/>
      <c r="M55" s="29"/>
    </row>
    <row r="56" ht="15.6" customHeight="1" spans="1:13">
      <c r="A56" s="12"/>
      <c r="B56" s="13"/>
      <c r="C56" s="13"/>
      <c r="D56" s="13"/>
      <c r="E56" s="16"/>
      <c r="F56" s="16"/>
      <c r="G56" s="16"/>
      <c r="H56" s="16"/>
      <c r="I56" s="29"/>
      <c r="J56" s="16"/>
      <c r="K56" s="16"/>
      <c r="L56" s="16"/>
      <c r="M56" s="29"/>
    </row>
    <row r="57" ht="15.6" customHeight="1" spans="1:13">
      <c r="A57" s="12"/>
      <c r="B57" s="13"/>
      <c r="C57" s="13"/>
      <c r="D57" s="13"/>
      <c r="E57" s="16"/>
      <c r="F57" s="16"/>
      <c r="G57" s="16"/>
      <c r="H57" s="16"/>
      <c r="I57" s="29"/>
      <c r="J57" s="16"/>
      <c r="K57" s="16"/>
      <c r="L57" s="16"/>
      <c r="M57" s="29"/>
    </row>
    <row r="58" ht="15.6" customHeight="1" spans="1:13">
      <c r="A58" s="12"/>
      <c r="B58" s="13"/>
      <c r="C58" s="13"/>
      <c r="D58" s="13"/>
      <c r="E58" s="16"/>
      <c r="F58" s="16"/>
      <c r="G58" s="16"/>
      <c r="H58" s="16"/>
      <c r="I58" s="29"/>
      <c r="J58" s="16"/>
      <c r="K58" s="16"/>
      <c r="L58" s="16"/>
      <c r="M58" s="29"/>
    </row>
    <row r="59" ht="15.6" customHeight="1" spans="1:13">
      <c r="A59" s="12"/>
      <c r="B59" s="13"/>
      <c r="C59" s="13"/>
      <c r="D59" s="13"/>
      <c r="E59" s="16"/>
      <c r="F59" s="16"/>
      <c r="G59" s="16"/>
      <c r="H59" s="16"/>
      <c r="I59" s="29"/>
      <c r="J59" s="16"/>
      <c r="K59" s="16"/>
      <c r="L59" s="16"/>
      <c r="M59" s="29"/>
    </row>
    <row r="60" ht="15.6" customHeight="1" spans="1:13">
      <c r="A60" s="12"/>
      <c r="B60" s="13"/>
      <c r="C60" s="13"/>
      <c r="D60" s="13"/>
      <c r="E60" s="16"/>
      <c r="F60" s="16"/>
      <c r="G60" s="16"/>
      <c r="H60" s="16"/>
      <c r="I60" s="29"/>
      <c r="J60" s="16"/>
      <c r="K60" s="16"/>
      <c r="L60" s="16"/>
      <c r="M60" s="29"/>
    </row>
    <row r="61" ht="15.6" customHeight="1" spans="1:13">
      <c r="A61" s="12"/>
      <c r="B61" s="13"/>
      <c r="C61" s="13"/>
      <c r="D61" s="13"/>
      <c r="E61" s="16"/>
      <c r="F61" s="16"/>
      <c r="G61" s="16"/>
      <c r="H61" s="16"/>
      <c r="I61" s="29"/>
      <c r="J61" s="16"/>
      <c r="K61" s="16"/>
      <c r="L61" s="16"/>
      <c r="M61" s="29"/>
    </row>
    <row r="62" ht="15.6" customHeight="1" spans="1:13">
      <c r="A62" s="12"/>
      <c r="B62" s="13"/>
      <c r="C62" s="13"/>
      <c r="D62" s="13"/>
      <c r="E62" s="16"/>
      <c r="F62" s="16"/>
      <c r="G62" s="16"/>
      <c r="H62" s="16"/>
      <c r="I62" s="29"/>
      <c r="J62" s="16"/>
      <c r="K62" s="16"/>
      <c r="L62" s="16"/>
      <c r="M62" s="29"/>
    </row>
    <row r="63" ht="15.6" customHeight="1" spans="1:13">
      <c r="A63" s="12"/>
      <c r="B63" s="13"/>
      <c r="C63" s="13"/>
      <c r="D63" s="13"/>
      <c r="E63" s="16"/>
      <c r="F63" s="16"/>
      <c r="G63" s="16"/>
      <c r="H63" s="16"/>
      <c r="I63" s="29"/>
      <c r="J63" s="16"/>
      <c r="K63" s="16"/>
      <c r="L63" s="16"/>
      <c r="M63" s="29"/>
    </row>
    <row r="64" ht="15.6" customHeight="1" spans="1:13">
      <c r="A64" s="12"/>
      <c r="B64" s="13"/>
      <c r="C64" s="13"/>
      <c r="D64" s="13"/>
      <c r="E64" s="16"/>
      <c r="F64" s="16"/>
      <c r="G64" s="16"/>
      <c r="H64" s="16"/>
      <c r="I64" s="29"/>
      <c r="J64" s="16"/>
      <c r="K64" s="16"/>
      <c r="L64" s="16"/>
      <c r="M64" s="29"/>
    </row>
    <row r="65" ht="15.6" customHeight="1" spans="1:13">
      <c r="A65" s="12"/>
      <c r="B65" s="13"/>
      <c r="C65" s="13"/>
      <c r="D65" s="13"/>
      <c r="E65" s="16"/>
      <c r="F65" s="16"/>
      <c r="G65" s="16"/>
      <c r="H65" s="16"/>
      <c r="I65" s="29"/>
      <c r="J65" s="16"/>
      <c r="K65" s="16"/>
      <c r="L65" s="16"/>
      <c r="M65" s="29"/>
    </row>
    <row r="66" ht="15.6" customHeight="1" spans="1:13">
      <c r="A66" s="12"/>
      <c r="B66" s="13"/>
      <c r="C66" s="13"/>
      <c r="D66" s="13"/>
      <c r="E66" s="16"/>
      <c r="F66" s="16"/>
      <c r="G66" s="16"/>
      <c r="H66" s="16"/>
      <c r="I66" s="29"/>
      <c r="J66" s="16"/>
      <c r="K66" s="16"/>
      <c r="L66" s="16"/>
      <c r="M66" s="29"/>
    </row>
    <row r="67" ht="15.6" customHeight="1" spans="1:13">
      <c r="A67" s="12"/>
      <c r="B67" s="13"/>
      <c r="C67" s="13"/>
      <c r="D67" s="13"/>
      <c r="E67" s="16"/>
      <c r="F67" s="16"/>
      <c r="G67" s="16"/>
      <c r="H67" s="16"/>
      <c r="I67" s="29"/>
      <c r="J67" s="16"/>
      <c r="K67" s="16"/>
      <c r="L67" s="16"/>
      <c r="M67" s="29"/>
    </row>
    <row r="68" ht="15.6" customHeight="1" spans="1:13">
      <c r="A68" s="12"/>
      <c r="B68" s="13"/>
      <c r="C68" s="13"/>
      <c r="D68" s="13"/>
      <c r="E68" s="16"/>
      <c r="F68" s="16"/>
      <c r="G68" s="16"/>
      <c r="H68" s="16"/>
      <c r="I68" s="29"/>
      <c r="J68" s="16"/>
      <c r="K68" s="16"/>
      <c r="L68" s="16"/>
      <c r="M68" s="29"/>
    </row>
    <row r="69" ht="15.6" customHeight="1" spans="1:13">
      <c r="A69" s="12"/>
      <c r="B69" s="13"/>
      <c r="C69" s="13"/>
      <c r="D69" s="13"/>
      <c r="E69" s="16"/>
      <c r="F69" s="16"/>
      <c r="G69" s="16"/>
      <c r="H69" s="16"/>
      <c r="I69" s="29"/>
      <c r="J69" s="16"/>
      <c r="K69" s="16"/>
      <c r="L69" s="16"/>
      <c r="M69" s="29"/>
    </row>
    <row r="70" ht="15.6" customHeight="1" spans="1:13">
      <c r="A70" s="12"/>
      <c r="B70" s="13"/>
      <c r="C70" s="13"/>
      <c r="D70" s="13"/>
      <c r="E70" s="16"/>
      <c r="F70" s="16"/>
      <c r="G70" s="16"/>
      <c r="H70" s="16"/>
      <c r="I70" s="29"/>
      <c r="J70" s="16"/>
      <c r="K70" s="16"/>
      <c r="L70" s="16"/>
      <c r="M70" s="29"/>
    </row>
    <row r="71" ht="15.6" customHeight="1" spans="1:13">
      <c r="A71" s="12"/>
      <c r="B71" s="13"/>
      <c r="C71" s="13"/>
      <c r="D71" s="13"/>
      <c r="E71" s="16"/>
      <c r="F71" s="16"/>
      <c r="G71" s="16"/>
      <c r="H71" s="16"/>
      <c r="I71" s="29"/>
      <c r="J71" s="16"/>
      <c r="K71" s="16"/>
      <c r="L71" s="16"/>
      <c r="M71" s="29"/>
    </row>
    <row r="72" ht="15.6" customHeight="1" spans="1:13">
      <c r="A72" s="12"/>
      <c r="B72" s="13"/>
      <c r="C72" s="13"/>
      <c r="D72" s="13"/>
      <c r="E72" s="16"/>
      <c r="F72" s="16"/>
      <c r="G72" s="16"/>
      <c r="H72" s="16"/>
      <c r="I72" s="29"/>
      <c r="J72" s="16"/>
      <c r="K72" s="16"/>
      <c r="L72" s="16"/>
      <c r="M72" s="29"/>
    </row>
    <row r="73" ht="15.6" customHeight="1" spans="1:13">
      <c r="A73" s="12"/>
      <c r="B73" s="13"/>
      <c r="C73" s="13"/>
      <c r="D73" s="13"/>
      <c r="E73" s="16"/>
      <c r="F73" s="16"/>
      <c r="G73" s="16"/>
      <c r="H73" s="16"/>
      <c r="I73" s="29"/>
      <c r="J73" s="16"/>
      <c r="K73" s="16"/>
      <c r="L73" s="16"/>
      <c r="M73" s="29"/>
    </row>
    <row r="74" ht="15.6" customHeight="1" spans="1:13">
      <c r="A74" s="12"/>
      <c r="B74" s="13"/>
      <c r="C74" s="13"/>
      <c r="D74" s="13"/>
      <c r="E74" s="16"/>
      <c r="F74" s="16"/>
      <c r="G74" s="16"/>
      <c r="H74" s="16"/>
      <c r="I74" s="29"/>
      <c r="J74" s="16"/>
      <c r="K74" s="16"/>
      <c r="L74" s="16"/>
      <c r="M74" s="29"/>
    </row>
    <row r="75" ht="15.6" customHeight="1" spans="1:13">
      <c r="A75" s="12"/>
      <c r="B75" s="13"/>
      <c r="C75" s="13"/>
      <c r="D75" s="13"/>
      <c r="E75" s="16"/>
      <c r="F75" s="16"/>
      <c r="G75" s="16"/>
      <c r="H75" s="16"/>
      <c r="I75" s="29"/>
      <c r="J75" s="16"/>
      <c r="K75" s="16"/>
      <c r="L75" s="16"/>
      <c r="M75" s="29"/>
    </row>
    <row r="76" ht="15.6" customHeight="1" spans="1:13">
      <c r="A76" s="12"/>
      <c r="B76" s="13"/>
      <c r="C76" s="13"/>
      <c r="D76" s="13"/>
      <c r="E76" s="16"/>
      <c r="F76" s="16"/>
      <c r="G76" s="16"/>
      <c r="H76" s="16"/>
      <c r="I76" s="29"/>
      <c r="J76" s="16"/>
      <c r="K76" s="16"/>
      <c r="L76" s="16"/>
      <c r="M76" s="29"/>
    </row>
    <row r="77" ht="15.6" customHeight="1" spans="1:13">
      <c r="A77" s="12"/>
      <c r="B77" s="13"/>
      <c r="C77" s="13"/>
      <c r="D77" s="13"/>
      <c r="E77" s="16"/>
      <c r="F77" s="16"/>
      <c r="G77" s="16"/>
      <c r="H77" s="16"/>
      <c r="I77" s="29"/>
      <c r="J77" s="16"/>
      <c r="K77" s="16"/>
      <c r="L77" s="16"/>
      <c r="M77" s="29"/>
    </row>
    <row r="78" ht="15.6" customHeight="1" spans="1:13">
      <c r="A78" s="12"/>
      <c r="B78" s="13"/>
      <c r="C78" s="13"/>
      <c r="D78" s="13"/>
      <c r="E78" s="16"/>
      <c r="F78" s="16"/>
      <c r="G78" s="16"/>
      <c r="H78" s="16"/>
      <c r="I78" s="29"/>
      <c r="J78" s="16"/>
      <c r="K78" s="16"/>
      <c r="L78" s="16"/>
      <c r="M78" s="29"/>
    </row>
    <row r="79" ht="15.6" customHeight="1" spans="1:13">
      <c r="A79" s="12"/>
      <c r="B79" s="13"/>
      <c r="C79" s="13"/>
      <c r="D79" s="13"/>
      <c r="E79" s="16"/>
      <c r="F79" s="16"/>
      <c r="G79" s="16"/>
      <c r="H79" s="16"/>
      <c r="I79" s="29"/>
      <c r="J79" s="16"/>
      <c r="K79" s="16"/>
      <c r="L79" s="16"/>
      <c r="M79" s="29"/>
    </row>
    <row r="80" ht="15.6" customHeight="1" spans="1:13">
      <c r="A80" s="12"/>
      <c r="B80" s="13"/>
      <c r="C80" s="13"/>
      <c r="D80" s="13"/>
      <c r="E80" s="16"/>
      <c r="F80" s="16"/>
      <c r="G80" s="16"/>
      <c r="H80" s="16"/>
      <c r="I80" s="29"/>
      <c r="J80" s="16"/>
      <c r="K80" s="16"/>
      <c r="L80" s="16"/>
      <c r="M80" s="29"/>
    </row>
    <row r="81" ht="15.6" customHeight="1" spans="1:13">
      <c r="A81" s="12"/>
      <c r="B81" s="13"/>
      <c r="C81" s="13"/>
      <c r="D81" s="13"/>
      <c r="E81" s="16"/>
      <c r="F81" s="16"/>
      <c r="G81" s="16"/>
      <c r="H81" s="16"/>
      <c r="I81" s="29"/>
      <c r="J81" s="16"/>
      <c r="K81" s="16"/>
      <c r="L81" s="16"/>
      <c r="M81" s="29"/>
    </row>
    <row r="82" ht="15.6" customHeight="1" spans="1:13">
      <c r="A82" s="12"/>
      <c r="B82" s="13"/>
      <c r="C82" s="13"/>
      <c r="D82" s="13"/>
      <c r="E82" s="16"/>
      <c r="F82" s="16"/>
      <c r="G82" s="16"/>
      <c r="H82" s="16"/>
      <c r="I82" s="29"/>
      <c r="J82" s="16"/>
      <c r="K82" s="16"/>
      <c r="L82" s="16"/>
      <c r="M82" s="29"/>
    </row>
    <row r="83" ht="15.6" customHeight="1" spans="1:13">
      <c r="A83" s="12"/>
      <c r="B83" s="13"/>
      <c r="C83" s="13"/>
      <c r="D83" s="13"/>
      <c r="E83" s="16"/>
      <c r="F83" s="16"/>
      <c r="G83" s="16"/>
      <c r="H83" s="16"/>
      <c r="I83" s="29"/>
      <c r="J83" s="16"/>
      <c r="K83" s="16"/>
      <c r="L83" s="16"/>
      <c r="M83" s="29"/>
    </row>
    <row r="84" ht="15.6" customHeight="1" spans="1:13">
      <c r="A84" s="12"/>
      <c r="B84" s="13"/>
      <c r="C84" s="13"/>
      <c r="D84" s="13"/>
      <c r="E84" s="16"/>
      <c r="F84" s="16"/>
      <c r="G84" s="16"/>
      <c r="H84" s="16"/>
      <c r="I84" s="29"/>
      <c r="J84" s="16"/>
      <c r="K84" s="16"/>
      <c r="L84" s="16"/>
      <c r="M84" s="29"/>
    </row>
    <row r="85" ht="15.6" customHeight="1" spans="1:13">
      <c r="A85" s="12"/>
      <c r="B85" s="13"/>
      <c r="C85" s="13"/>
      <c r="D85" s="13"/>
      <c r="E85" s="16"/>
      <c r="F85" s="16"/>
      <c r="G85" s="16"/>
      <c r="H85" s="16"/>
      <c r="I85" s="29"/>
      <c r="J85" s="16"/>
      <c r="K85" s="16"/>
      <c r="L85" s="16"/>
      <c r="M85" s="29"/>
    </row>
    <row r="86" ht="15.6" customHeight="1" spans="1:13">
      <c r="A86" s="12"/>
      <c r="B86" s="13"/>
      <c r="C86" s="13"/>
      <c r="D86" s="13"/>
      <c r="E86" s="16"/>
      <c r="F86" s="16"/>
      <c r="G86" s="16"/>
      <c r="H86" s="16"/>
      <c r="I86" s="29"/>
      <c r="J86" s="16"/>
      <c r="K86" s="16"/>
      <c r="L86" s="16"/>
      <c r="M86" s="29"/>
    </row>
    <row r="87" ht="15.6" customHeight="1" spans="1:13">
      <c r="A87" s="12"/>
      <c r="B87" s="13"/>
      <c r="C87" s="13"/>
      <c r="D87" s="13"/>
      <c r="E87" s="16"/>
      <c r="F87" s="16"/>
      <c r="G87" s="16"/>
      <c r="H87" s="16"/>
      <c r="I87" s="29"/>
      <c r="J87" s="16"/>
      <c r="K87" s="16"/>
      <c r="L87" s="16"/>
      <c r="M87" s="29"/>
    </row>
    <row r="88" ht="15.6" customHeight="1" spans="1:13">
      <c r="A88" s="12"/>
      <c r="B88" s="13"/>
      <c r="C88" s="13"/>
      <c r="D88" s="13"/>
      <c r="E88" s="16"/>
      <c r="F88" s="16"/>
      <c r="G88" s="16"/>
      <c r="H88" s="16"/>
      <c r="I88" s="29"/>
      <c r="J88" s="16"/>
      <c r="K88" s="16"/>
      <c r="L88" s="16"/>
      <c r="M88" s="29"/>
    </row>
    <row r="89" ht="15.6" customHeight="1" spans="1:13">
      <c r="A89" s="12"/>
      <c r="B89" s="13"/>
      <c r="C89" s="13"/>
      <c r="D89" s="13"/>
      <c r="E89" s="16"/>
      <c r="F89" s="16"/>
      <c r="G89" s="16"/>
      <c r="H89" s="16"/>
      <c r="I89" s="29"/>
      <c r="J89" s="16"/>
      <c r="K89" s="16"/>
      <c r="L89" s="16"/>
      <c r="M89" s="29"/>
    </row>
    <row r="90" ht="15.6" customHeight="1" spans="1:13">
      <c r="A90" s="12"/>
      <c r="B90" s="13"/>
      <c r="C90" s="13"/>
      <c r="D90" s="13"/>
      <c r="E90" s="16"/>
      <c r="F90" s="16"/>
      <c r="G90" s="16"/>
      <c r="H90" s="16"/>
      <c r="I90" s="29"/>
      <c r="J90" s="16"/>
      <c r="K90" s="16"/>
      <c r="L90" s="16"/>
      <c r="M90" s="29"/>
    </row>
    <row r="91" ht="15.6" customHeight="1" spans="1:13">
      <c r="A91" s="12"/>
      <c r="B91" s="13"/>
      <c r="C91" s="13"/>
      <c r="D91" s="13"/>
      <c r="E91" s="16"/>
      <c r="F91" s="16"/>
      <c r="G91" s="16"/>
      <c r="H91" s="16"/>
      <c r="I91" s="29"/>
      <c r="J91" s="16"/>
      <c r="K91" s="16"/>
      <c r="L91" s="16"/>
      <c r="M91" s="29"/>
    </row>
    <row r="92" ht="15.6" customHeight="1" spans="1:13">
      <c r="A92" s="12"/>
      <c r="B92" s="13"/>
      <c r="C92" s="13"/>
      <c r="D92" s="13"/>
      <c r="E92" s="16"/>
      <c r="F92" s="16"/>
      <c r="G92" s="16"/>
      <c r="H92" s="16"/>
      <c r="I92" s="29"/>
      <c r="J92" s="16"/>
      <c r="K92" s="16"/>
      <c r="L92" s="16"/>
      <c r="M92" s="29"/>
    </row>
    <row r="93" ht="15.6" customHeight="1" spans="1:13">
      <c r="A93" s="12"/>
      <c r="B93" s="13"/>
      <c r="C93" s="13"/>
      <c r="D93" s="13"/>
      <c r="E93" s="16"/>
      <c r="F93" s="16"/>
      <c r="G93" s="16"/>
      <c r="H93" s="16"/>
      <c r="I93" s="29"/>
      <c r="J93" s="16"/>
      <c r="K93" s="16"/>
      <c r="L93" s="16"/>
      <c r="M93" s="29"/>
    </row>
    <row r="94" ht="15.6" customHeight="1" spans="1:13">
      <c r="A94" s="12"/>
      <c r="B94" s="13"/>
      <c r="C94" s="13"/>
      <c r="D94" s="13"/>
      <c r="E94" s="16"/>
      <c r="F94" s="16"/>
      <c r="G94" s="16"/>
      <c r="H94" s="16"/>
      <c r="I94" s="29"/>
      <c r="J94" s="16"/>
      <c r="K94" s="16"/>
      <c r="L94" s="16"/>
      <c r="M94" s="29"/>
    </row>
    <row r="95" ht="15.6" customHeight="1" spans="1:13">
      <c r="A95" s="12"/>
      <c r="B95" s="13"/>
      <c r="C95" s="13"/>
      <c r="D95" s="13"/>
      <c r="E95" s="16"/>
      <c r="F95" s="16"/>
      <c r="G95" s="16"/>
      <c r="H95" s="16"/>
      <c r="I95" s="29"/>
      <c r="J95" s="16"/>
      <c r="K95" s="16"/>
      <c r="L95" s="16"/>
      <c r="M95" s="29"/>
    </row>
    <row r="96" ht="15.6" customHeight="1" spans="1:13">
      <c r="A96" s="12"/>
      <c r="B96" s="13"/>
      <c r="C96" s="13"/>
      <c r="D96" s="13"/>
      <c r="E96" s="16"/>
      <c r="F96" s="16"/>
      <c r="G96" s="16"/>
      <c r="H96" s="16"/>
      <c r="I96" s="29"/>
      <c r="J96" s="16"/>
      <c r="K96" s="16"/>
      <c r="L96" s="16"/>
      <c r="M96" s="29"/>
    </row>
    <row r="97" ht="15.6" customHeight="1" spans="1:13">
      <c r="A97" s="12"/>
      <c r="B97" s="13"/>
      <c r="C97" s="13"/>
      <c r="D97" s="13"/>
      <c r="E97" s="16"/>
      <c r="F97" s="16"/>
      <c r="G97" s="16"/>
      <c r="H97" s="16"/>
      <c r="I97" s="29"/>
      <c r="J97" s="16"/>
      <c r="K97" s="16"/>
      <c r="L97" s="16"/>
      <c r="M97" s="29"/>
    </row>
    <row r="98" ht="15.6" customHeight="1" spans="1:13">
      <c r="A98" s="12"/>
      <c r="B98" s="13"/>
      <c r="C98" s="13"/>
      <c r="D98" s="13"/>
      <c r="E98" s="16"/>
      <c r="F98" s="16"/>
      <c r="G98" s="16"/>
      <c r="H98" s="16"/>
      <c r="I98" s="29"/>
      <c r="J98" s="16"/>
      <c r="K98" s="16"/>
      <c r="L98" s="16"/>
      <c r="M98" s="29"/>
    </row>
    <row r="99" ht="15.6" customHeight="1" spans="1:13">
      <c r="A99" s="12"/>
      <c r="B99" s="13"/>
      <c r="C99" s="13"/>
      <c r="D99" s="13"/>
      <c r="E99" s="16"/>
      <c r="F99" s="16"/>
      <c r="G99" s="16"/>
      <c r="H99" s="16"/>
      <c r="I99" s="29"/>
      <c r="J99" s="16"/>
      <c r="K99" s="16"/>
      <c r="L99" s="16"/>
      <c r="M99" s="29"/>
    </row>
    <row r="100" ht="15.6" customHeight="1" spans="1:13">
      <c r="A100" s="12"/>
      <c r="B100" s="13"/>
      <c r="C100" s="13"/>
      <c r="D100" s="13"/>
      <c r="E100" s="16"/>
      <c r="F100" s="16"/>
      <c r="G100" s="16"/>
      <c r="H100" s="16"/>
      <c r="I100" s="29"/>
      <c r="J100" s="16"/>
      <c r="K100" s="16"/>
      <c r="L100" s="16"/>
      <c r="M100" s="29"/>
    </row>
  </sheetData>
  <mergeCells count="4">
    <mergeCell ref="A1:B1"/>
    <mergeCell ref="C1:E1"/>
    <mergeCell ref="F1:I1"/>
    <mergeCell ref="J1:K1"/>
  </mergeCells>
  <conditionalFormatting sqref="A3:E100 J3:M100">
    <cfRule type="expression" dxfId="0" priority="2">
      <formula>MOD(ROW(),2)=0</formula>
    </cfRule>
  </conditionalFormatting>
  <conditionalFormatting sqref="F3:I100">
    <cfRule type="expression" dxfId="0" priority="1">
      <formula>MOD(ROW(),2)=0</formula>
    </cfRule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W100"/>
  <sheetViews>
    <sheetView workbookViewId="0">
      <selection activeCell="N1" sqref="N1:W4"/>
    </sheetView>
  </sheetViews>
  <sheetFormatPr defaultColWidth="9" defaultRowHeight="14.4"/>
  <cols>
    <col min="12" max="12" width="9.44444444444444" customWidth="1"/>
  </cols>
  <sheetData>
    <row r="1" ht="31.2" customHeight="1" spans="1:23">
      <c r="A1" s="1" t="s">
        <v>0</v>
      </c>
      <c r="B1" s="2"/>
      <c r="C1" s="3" t="s">
        <v>1</v>
      </c>
      <c r="D1" s="4"/>
      <c r="E1" s="5"/>
      <c r="F1" s="6" t="s">
        <v>2</v>
      </c>
      <c r="G1" s="7"/>
      <c r="H1" s="7"/>
      <c r="I1" s="2"/>
      <c r="J1" s="17" t="s">
        <v>3</v>
      </c>
      <c r="K1" s="2"/>
      <c r="L1" s="18" t="s">
        <v>4</v>
      </c>
      <c r="M1" s="19" t="s">
        <v>5</v>
      </c>
      <c r="N1" s="20" t="s">
        <v>6</v>
      </c>
      <c r="O1" s="21" t="s">
        <v>7</v>
      </c>
      <c r="P1" s="21" t="s">
        <v>8</v>
      </c>
      <c r="Q1" s="21" t="s">
        <v>9</v>
      </c>
      <c r="R1" s="30" t="s">
        <v>10</v>
      </c>
      <c r="S1" s="31" t="s">
        <v>11</v>
      </c>
      <c r="T1" s="32" t="s">
        <v>12</v>
      </c>
      <c r="U1" s="32" t="s">
        <v>13</v>
      </c>
      <c r="V1" s="32" t="s">
        <v>14</v>
      </c>
      <c r="W1" s="33" t="s">
        <v>15</v>
      </c>
    </row>
    <row r="2" ht="47.55" customHeight="1" spans="1:23">
      <c r="A2" s="8" t="s">
        <v>16</v>
      </c>
      <c r="B2" s="9" t="s">
        <v>17</v>
      </c>
      <c r="C2" s="10" t="s">
        <v>18</v>
      </c>
      <c r="D2" s="10" t="s">
        <v>19</v>
      </c>
      <c r="E2" s="10" t="s">
        <v>20</v>
      </c>
      <c r="F2" s="11" t="s">
        <v>21</v>
      </c>
      <c r="G2" s="11" t="s">
        <v>22</v>
      </c>
      <c r="H2" s="11" t="s">
        <v>23</v>
      </c>
      <c r="I2" s="11" t="s">
        <v>24</v>
      </c>
      <c r="J2" s="22" t="s">
        <v>25</v>
      </c>
      <c r="K2" s="22" t="s">
        <v>26</v>
      </c>
      <c r="L2" s="23" t="s">
        <v>27</v>
      </c>
      <c r="M2" s="24" t="s">
        <v>28</v>
      </c>
      <c r="N2" s="25">
        <f>QUARTILE(F3:F200,4)</f>
        <v>0.051</v>
      </c>
      <c r="O2" s="26">
        <f>QUARTILE(F3:F200,3)</f>
        <v>0.00535</v>
      </c>
      <c r="P2" s="26">
        <f>QUARTILE(F3:F200,2)</f>
        <v>-0.0018</v>
      </c>
      <c r="Q2" s="26">
        <f>QUARTILE(F3:F200,1)</f>
        <v>-0.00435</v>
      </c>
      <c r="R2" s="34">
        <f>QUARTILE(F3:F200,0)</f>
        <v>-0.0171</v>
      </c>
      <c r="S2" s="25">
        <f>QUARTILE(H3:H200,4)</f>
        <v>0.4309</v>
      </c>
      <c r="T2" s="26">
        <f>QUARTILE(H3:H200,3)</f>
        <v>0.1542</v>
      </c>
      <c r="U2" s="26">
        <f>QUARTILE(H3:H200,2)</f>
        <v>0.0487</v>
      </c>
      <c r="V2" s="26">
        <f>QUARTILE(H3:H200,1)</f>
        <v>-0.0044</v>
      </c>
      <c r="W2" s="34">
        <f>QUARTILE(H3:H200,0)</f>
        <v>-0.1576</v>
      </c>
    </row>
    <row r="3" ht="15.6" customHeight="1" spans="1:13">
      <c r="A3" s="12" t="s">
        <v>1322</v>
      </c>
      <c r="B3" s="13" t="s">
        <v>38</v>
      </c>
      <c r="C3" s="14" t="s">
        <v>1323</v>
      </c>
      <c r="D3" s="14" t="s">
        <v>1324</v>
      </c>
      <c r="E3" s="15" t="s">
        <v>1325</v>
      </c>
      <c r="F3" s="16">
        <v>0.051</v>
      </c>
      <c r="G3" s="16">
        <v>-0.0455</v>
      </c>
      <c r="H3" s="16">
        <v>0.2364</v>
      </c>
      <c r="I3" s="27">
        <v>0.4863</v>
      </c>
      <c r="J3" s="16">
        <v>0.2198</v>
      </c>
      <c r="K3" s="16">
        <v>0.5536</v>
      </c>
      <c r="L3" s="16">
        <v>0.4855</v>
      </c>
      <c r="M3" s="29">
        <v>0.9605</v>
      </c>
    </row>
    <row r="4" ht="15.6" customHeight="1" spans="1:13">
      <c r="A4" s="12" t="s">
        <v>1326</v>
      </c>
      <c r="B4" s="13" t="s">
        <v>217</v>
      </c>
      <c r="C4" s="13" t="s">
        <v>1327</v>
      </c>
      <c r="D4" s="13" t="s">
        <v>1324</v>
      </c>
      <c r="E4" s="16" t="s">
        <v>1328</v>
      </c>
      <c r="F4" s="16">
        <v>0.038</v>
      </c>
      <c r="G4" s="16">
        <v>0.0277</v>
      </c>
      <c r="H4" s="16">
        <v>-0.0621</v>
      </c>
      <c r="I4" s="27">
        <v>0.1709</v>
      </c>
      <c r="J4" s="16">
        <v>0.1348</v>
      </c>
      <c r="K4" s="16">
        <v>0.1489</v>
      </c>
      <c r="L4" s="16">
        <v>0.1527</v>
      </c>
      <c r="M4" s="29">
        <v>0.988</v>
      </c>
    </row>
    <row r="5" ht="15.6" customHeight="1" spans="1:13">
      <c r="A5" s="12" t="s">
        <v>1329</v>
      </c>
      <c r="B5" s="13" t="s">
        <v>38</v>
      </c>
      <c r="C5" s="13" t="s">
        <v>1330</v>
      </c>
      <c r="D5" s="13" t="s">
        <v>1324</v>
      </c>
      <c r="E5" s="16" t="s">
        <v>545</v>
      </c>
      <c r="F5" s="16">
        <v>0.0167</v>
      </c>
      <c r="G5" s="16">
        <v>-0.0782</v>
      </c>
      <c r="H5" s="16">
        <v>-0.1576</v>
      </c>
      <c r="I5" s="27">
        <v>-0.1481</v>
      </c>
      <c r="J5" s="16">
        <v>0.2895</v>
      </c>
      <c r="K5" s="16">
        <v>0.2895</v>
      </c>
      <c r="L5" s="16">
        <v>0.3465</v>
      </c>
      <c r="M5" s="29">
        <v>-0.4851</v>
      </c>
    </row>
    <row r="6" ht="15.6" customHeight="1" spans="1:13">
      <c r="A6" s="12" t="s">
        <v>1331</v>
      </c>
      <c r="B6" s="13" t="s">
        <v>30</v>
      </c>
      <c r="C6" s="13" t="s">
        <v>1332</v>
      </c>
      <c r="D6" s="13" t="s">
        <v>1324</v>
      </c>
      <c r="E6" s="16" t="s">
        <v>1333</v>
      </c>
      <c r="F6" s="16">
        <v>0.0146</v>
      </c>
      <c r="G6" s="16">
        <v>0.0452</v>
      </c>
      <c r="H6" s="16">
        <v>0.149</v>
      </c>
      <c r="I6" s="27">
        <v>0.1811</v>
      </c>
      <c r="J6" s="16">
        <v>0.0914</v>
      </c>
      <c r="K6" s="16">
        <v>0.0914</v>
      </c>
      <c r="L6" s="16">
        <v>0.1247</v>
      </c>
      <c r="M6" s="29">
        <v>1.2923</v>
      </c>
    </row>
    <row r="7" ht="15.6" customHeight="1" spans="1:13">
      <c r="A7" s="12" t="s">
        <v>1075</v>
      </c>
      <c r="B7" s="13" t="s">
        <v>217</v>
      </c>
      <c r="C7" s="13" t="s">
        <v>1334</v>
      </c>
      <c r="D7" s="13" t="s">
        <v>1324</v>
      </c>
      <c r="E7" s="16" t="s">
        <v>1335</v>
      </c>
      <c r="F7" s="16">
        <v>0.0076</v>
      </c>
      <c r="G7" s="16">
        <v>0.0217</v>
      </c>
      <c r="H7" s="16">
        <v>0.0778</v>
      </c>
      <c r="I7" s="27">
        <v>0.3161</v>
      </c>
      <c r="J7" s="16">
        <v>0.0277</v>
      </c>
      <c r="K7" s="16">
        <v>0.0277</v>
      </c>
      <c r="L7" s="16">
        <v>0.0738</v>
      </c>
      <c r="M7" s="29">
        <v>4.0142</v>
      </c>
    </row>
    <row r="8" ht="15.6" customHeight="1" spans="1:13">
      <c r="A8" s="12" t="s">
        <v>1336</v>
      </c>
      <c r="B8" s="13" t="s">
        <v>61</v>
      </c>
      <c r="C8" s="13" t="s">
        <v>1337</v>
      </c>
      <c r="D8" s="13" t="s">
        <v>1324</v>
      </c>
      <c r="E8" s="16" t="s">
        <v>351</v>
      </c>
      <c r="F8" s="16">
        <v>0.0031</v>
      </c>
      <c r="G8" s="16">
        <v>-0.0131</v>
      </c>
      <c r="H8" s="16">
        <v>-0.0061</v>
      </c>
      <c r="I8" s="27">
        <v>-0.3697</v>
      </c>
      <c r="J8" s="16">
        <v>0.0515</v>
      </c>
      <c r="K8" s="16">
        <v>0.9717</v>
      </c>
      <c r="L8" s="16">
        <v>1.077</v>
      </c>
      <c r="M8" s="29">
        <v>-0.3619</v>
      </c>
    </row>
    <row r="9" ht="15.6" customHeight="1" spans="1:13">
      <c r="A9" s="12" t="s">
        <v>307</v>
      </c>
      <c r="B9" s="13" t="s">
        <v>54</v>
      </c>
      <c r="C9" s="13" t="s">
        <v>1338</v>
      </c>
      <c r="D9" s="13" t="s">
        <v>1324</v>
      </c>
      <c r="E9" s="16" t="s">
        <v>1280</v>
      </c>
      <c r="F9" s="16">
        <v>0</v>
      </c>
      <c r="G9" s="16">
        <v>-0.0041</v>
      </c>
      <c r="H9" s="16">
        <v>0.0588</v>
      </c>
      <c r="I9" s="27">
        <v>0.0538</v>
      </c>
      <c r="J9" s="16">
        <v>0.04</v>
      </c>
      <c r="K9" s="16">
        <v>0.0924</v>
      </c>
      <c r="L9" s="16">
        <v>0.0942</v>
      </c>
      <c r="M9" s="29">
        <v>0.3587</v>
      </c>
    </row>
    <row r="10" ht="15.6" customHeight="1" spans="1:13">
      <c r="A10" s="12" t="s">
        <v>1339</v>
      </c>
      <c r="B10" s="13" t="s">
        <v>156</v>
      </c>
      <c r="C10" s="13" t="s">
        <v>1340</v>
      </c>
      <c r="D10" s="13" t="s">
        <v>1324</v>
      </c>
      <c r="E10" s="16" t="s">
        <v>376</v>
      </c>
      <c r="F10" s="16">
        <v>-0.0001</v>
      </c>
      <c r="G10" s="16">
        <v>-0.0189</v>
      </c>
      <c r="H10" s="16">
        <v>0.0594</v>
      </c>
      <c r="I10" s="27">
        <v>0.089</v>
      </c>
      <c r="J10" s="16">
        <v>0.0431</v>
      </c>
      <c r="K10" s="16">
        <v>0.06</v>
      </c>
      <c r="L10" s="16">
        <v>0.0666</v>
      </c>
      <c r="M10" s="29">
        <v>1.0361</v>
      </c>
    </row>
    <row r="11" ht="15.6" customHeight="1" spans="1:13">
      <c r="A11" s="12" t="s">
        <v>1341</v>
      </c>
      <c r="B11" s="13" t="s">
        <v>61</v>
      </c>
      <c r="C11" s="13" t="s">
        <v>1342</v>
      </c>
      <c r="D11" s="13" t="s">
        <v>1324</v>
      </c>
      <c r="E11" s="16" t="s">
        <v>1343</v>
      </c>
      <c r="F11" s="16">
        <v>-0.0007</v>
      </c>
      <c r="G11" s="16">
        <v>-0.0001</v>
      </c>
      <c r="H11" s="16">
        <v>0.0078</v>
      </c>
      <c r="I11" s="27">
        <v>0.1401</v>
      </c>
      <c r="J11" s="16">
        <v>0.0154</v>
      </c>
      <c r="K11" s="16">
        <v>0.0387</v>
      </c>
      <c r="L11" s="16">
        <v>0.0757</v>
      </c>
      <c r="M11" s="29">
        <v>1.5872</v>
      </c>
    </row>
    <row r="12" ht="15.6" customHeight="1" spans="1:13">
      <c r="A12" s="12" t="s">
        <v>1344</v>
      </c>
      <c r="B12" s="13" t="s">
        <v>30</v>
      </c>
      <c r="C12" s="13" t="s">
        <v>1345</v>
      </c>
      <c r="D12" s="13" t="s">
        <v>1324</v>
      </c>
      <c r="E12" s="16" t="s">
        <v>536</v>
      </c>
      <c r="F12" s="16">
        <v>-0.0018</v>
      </c>
      <c r="G12" s="16">
        <v>0.0063</v>
      </c>
      <c r="H12" s="16">
        <v>0.0461</v>
      </c>
      <c r="I12" s="27">
        <v>0.2126</v>
      </c>
      <c r="J12" s="16">
        <v>0.0188</v>
      </c>
      <c r="K12" s="16">
        <v>0.195</v>
      </c>
      <c r="L12" s="16">
        <v>0.1586</v>
      </c>
      <c r="M12" s="29">
        <v>1.2144</v>
      </c>
    </row>
    <row r="13" ht="15.6" customHeight="1" spans="1:13">
      <c r="A13" s="12" t="s">
        <v>1346</v>
      </c>
      <c r="B13" s="13" t="s">
        <v>54</v>
      </c>
      <c r="C13" s="13" t="s">
        <v>1347</v>
      </c>
      <c r="D13" s="13" t="s">
        <v>1324</v>
      </c>
      <c r="E13" s="16" t="s">
        <v>1348</v>
      </c>
      <c r="F13" s="16">
        <v>-0.0022</v>
      </c>
      <c r="G13" s="16">
        <v>0.1023</v>
      </c>
      <c r="H13" s="16">
        <v>0.4309</v>
      </c>
      <c r="I13" s="27">
        <v>0.374</v>
      </c>
      <c r="J13" s="16">
        <v>0.0542</v>
      </c>
      <c r="K13" s="16">
        <v>0.1705</v>
      </c>
      <c r="L13" s="16">
        <v>0.2106</v>
      </c>
      <c r="M13" s="29">
        <v>1.6809</v>
      </c>
    </row>
    <row r="14" ht="15.6" customHeight="1" spans="1:13">
      <c r="A14" s="12" t="s">
        <v>171</v>
      </c>
      <c r="B14" s="13" t="s">
        <v>156</v>
      </c>
      <c r="C14" s="13" t="s">
        <v>1349</v>
      </c>
      <c r="D14" s="13" t="s">
        <v>1324</v>
      </c>
      <c r="E14" s="16" t="s">
        <v>1350</v>
      </c>
      <c r="F14" s="16">
        <v>-0.0027</v>
      </c>
      <c r="G14" s="16">
        <v>-0.0761</v>
      </c>
      <c r="H14" s="16">
        <v>-0.0562</v>
      </c>
      <c r="I14" s="27">
        <v>0.2463</v>
      </c>
      <c r="J14" s="16">
        <v>0.1696</v>
      </c>
      <c r="K14" s="16">
        <v>0.1696</v>
      </c>
      <c r="L14" s="16">
        <v>0.1321</v>
      </c>
      <c r="M14" s="29">
        <v>1.7137</v>
      </c>
    </row>
    <row r="15" ht="15.6" customHeight="1" spans="1:13">
      <c r="A15" s="12" t="s">
        <v>1351</v>
      </c>
      <c r="B15" s="13" t="s">
        <v>61</v>
      </c>
      <c r="C15" s="13" t="s">
        <v>1352</v>
      </c>
      <c r="D15" s="13" t="s">
        <v>1324</v>
      </c>
      <c r="E15" s="16" t="s">
        <v>1353</v>
      </c>
      <c r="F15" s="16">
        <v>-0.0029</v>
      </c>
      <c r="G15" s="16">
        <v>-0.0051</v>
      </c>
      <c r="H15" s="16">
        <v>0.0487</v>
      </c>
      <c r="I15" s="27">
        <v>0.0681</v>
      </c>
      <c r="J15" s="16">
        <v>0.0137</v>
      </c>
      <c r="K15" s="16">
        <v>0.1114</v>
      </c>
      <c r="L15" s="16">
        <v>0.1055</v>
      </c>
      <c r="M15" s="29">
        <v>0.4554</v>
      </c>
    </row>
    <row r="16" ht="15.6" customHeight="1" spans="1:13">
      <c r="A16" s="12" t="s">
        <v>1354</v>
      </c>
      <c r="B16" s="13" t="s">
        <v>156</v>
      </c>
      <c r="C16" s="13" t="s">
        <v>1355</v>
      </c>
      <c r="D16" s="13" t="s">
        <v>1324</v>
      </c>
      <c r="E16" s="16" t="s">
        <v>263</v>
      </c>
      <c r="F16" s="16">
        <v>-0.0039</v>
      </c>
      <c r="G16" s="16">
        <v>0.0347</v>
      </c>
      <c r="H16" s="16">
        <v>0.1594</v>
      </c>
      <c r="I16" s="27">
        <v>0.1743</v>
      </c>
      <c r="J16" s="16">
        <v>0.0647</v>
      </c>
      <c r="K16" s="16">
        <v>0.0647</v>
      </c>
      <c r="L16" s="16">
        <v>0.1362</v>
      </c>
      <c r="M16" s="29">
        <v>1.133</v>
      </c>
    </row>
    <row r="17" ht="15.6" customHeight="1" spans="1:13">
      <c r="A17" s="12" t="s">
        <v>1356</v>
      </c>
      <c r="B17" s="13" t="s">
        <v>30</v>
      </c>
      <c r="C17" s="13" t="s">
        <v>1357</v>
      </c>
      <c r="D17" s="13" t="s">
        <v>1324</v>
      </c>
      <c r="E17" s="16" t="s">
        <v>987</v>
      </c>
      <c r="F17" s="16">
        <v>-0.0048</v>
      </c>
      <c r="G17" s="16">
        <v>-0.0186</v>
      </c>
      <c r="H17" s="16">
        <v>0.236</v>
      </c>
      <c r="I17" s="27">
        <v>0.2305</v>
      </c>
      <c r="J17" s="16">
        <v>0.0264</v>
      </c>
      <c r="K17" s="16">
        <v>0.0562</v>
      </c>
      <c r="L17" s="16">
        <v>0.1124</v>
      </c>
      <c r="M17" s="29">
        <v>1.8729</v>
      </c>
    </row>
    <row r="18" ht="15.6" customHeight="1" spans="1:13">
      <c r="A18" s="12" t="s">
        <v>1358</v>
      </c>
      <c r="B18" s="13" t="s">
        <v>38</v>
      </c>
      <c r="C18" s="13" t="s">
        <v>1359</v>
      </c>
      <c r="D18" s="13" t="s">
        <v>1324</v>
      </c>
      <c r="E18" s="16" t="s">
        <v>1360</v>
      </c>
      <c r="F18" s="16">
        <v>-0.0063</v>
      </c>
      <c r="G18" s="16">
        <v>0.1349</v>
      </c>
      <c r="H18" s="16">
        <v>0.2857</v>
      </c>
      <c r="I18" s="27">
        <v>0.4628</v>
      </c>
      <c r="J18" s="16">
        <v>0.1567</v>
      </c>
      <c r="K18" s="16">
        <v>0.1605</v>
      </c>
      <c r="L18" s="16">
        <v>0.206</v>
      </c>
      <c r="M18" s="29">
        <v>2.1497</v>
      </c>
    </row>
    <row r="19" ht="15.6" customHeight="1" spans="1:13">
      <c r="A19" s="12" t="s">
        <v>1361</v>
      </c>
      <c r="B19" s="13" t="s">
        <v>30</v>
      </c>
      <c r="C19" s="13" t="s">
        <v>1362</v>
      </c>
      <c r="D19" s="13" t="s">
        <v>1324</v>
      </c>
      <c r="E19" s="16" t="s">
        <v>1363</v>
      </c>
      <c r="F19" s="16">
        <v>-0.0073</v>
      </c>
      <c r="G19" s="16">
        <v>-0.0732</v>
      </c>
      <c r="H19" s="16">
        <v>-0.051</v>
      </c>
      <c r="I19" s="27">
        <v>0.0984</v>
      </c>
      <c r="J19" s="16">
        <v>0.1221</v>
      </c>
      <c r="K19" s="16">
        <v>0.1221</v>
      </c>
      <c r="L19" s="16">
        <v>0.1397</v>
      </c>
      <c r="M19" s="29">
        <v>0.5608</v>
      </c>
    </row>
    <row r="20" ht="15.6" customHeight="1" spans="1:13">
      <c r="A20" s="12" t="s">
        <v>1364</v>
      </c>
      <c r="B20" s="13" t="s">
        <v>54</v>
      </c>
      <c r="C20" s="13" t="s">
        <v>1365</v>
      </c>
      <c r="D20" s="13" t="s">
        <v>1324</v>
      </c>
      <c r="E20" s="16" t="s">
        <v>1366</v>
      </c>
      <c r="F20" s="16">
        <v>-0.0105</v>
      </c>
      <c r="G20" s="16">
        <v>-0.0769</v>
      </c>
      <c r="H20" s="16">
        <v>0.0076</v>
      </c>
      <c r="I20" s="27">
        <v>0.2012</v>
      </c>
      <c r="J20" s="16">
        <v>0.12</v>
      </c>
      <c r="K20" s="16">
        <v>0.1628</v>
      </c>
      <c r="L20" s="16">
        <v>0.1554</v>
      </c>
      <c r="M20" s="29">
        <v>1.166</v>
      </c>
    </row>
    <row r="21" ht="15.6" customHeight="1" spans="1:13">
      <c r="A21" s="12" t="s">
        <v>1367</v>
      </c>
      <c r="B21" s="13" t="s">
        <v>30</v>
      </c>
      <c r="C21" s="13" t="s">
        <v>1368</v>
      </c>
      <c r="D21" s="13" t="s">
        <v>1324</v>
      </c>
      <c r="E21" s="16" t="s">
        <v>312</v>
      </c>
      <c r="F21" s="16">
        <v>-0.0171</v>
      </c>
      <c r="G21" s="16">
        <v>-0.01</v>
      </c>
      <c r="H21" s="16">
        <v>-0.0027</v>
      </c>
      <c r="I21" s="27">
        <v>0.0698</v>
      </c>
      <c r="J21" s="16">
        <v>0.0285</v>
      </c>
      <c r="K21" s="16">
        <v>0.0447</v>
      </c>
      <c r="L21" s="16">
        <v>0.0848</v>
      </c>
      <c r="M21" s="29">
        <v>0.5876</v>
      </c>
    </row>
    <row r="22" ht="15.6" customHeight="1" spans="1:13">
      <c r="A22" s="12"/>
      <c r="B22" s="13"/>
      <c r="C22" s="13"/>
      <c r="D22" s="13"/>
      <c r="E22" s="16"/>
      <c r="F22" s="16"/>
      <c r="G22" s="16"/>
      <c r="H22" s="16"/>
      <c r="I22" s="29"/>
      <c r="J22" s="16"/>
      <c r="K22" s="16"/>
      <c r="L22" s="16"/>
      <c r="M22" s="29"/>
    </row>
    <row r="23" ht="15.6" customHeight="1" spans="1:13">
      <c r="A23" s="12"/>
      <c r="B23" s="13"/>
      <c r="C23" s="13"/>
      <c r="D23" s="13"/>
      <c r="E23" s="16"/>
      <c r="F23" s="16"/>
      <c r="G23" s="16"/>
      <c r="H23" s="16"/>
      <c r="I23" s="29"/>
      <c r="J23" s="16"/>
      <c r="K23" s="16"/>
      <c r="L23" s="16"/>
      <c r="M23" s="29"/>
    </row>
    <row r="24" ht="15.6" customHeight="1" spans="1:13">
      <c r="A24" s="12"/>
      <c r="B24" s="13"/>
      <c r="C24" s="13"/>
      <c r="D24" s="13"/>
      <c r="E24" s="16"/>
      <c r="F24" s="16"/>
      <c r="G24" s="16"/>
      <c r="H24" s="16"/>
      <c r="I24" s="29"/>
      <c r="J24" s="16"/>
      <c r="K24" s="16"/>
      <c r="L24" s="16"/>
      <c r="M24" s="29"/>
    </row>
    <row r="25" ht="15.6" customHeight="1" spans="1:13">
      <c r="A25" s="12"/>
      <c r="B25" s="13"/>
      <c r="C25" s="13"/>
      <c r="D25" s="13"/>
      <c r="E25" s="16"/>
      <c r="F25" s="16"/>
      <c r="G25" s="16"/>
      <c r="H25" s="16"/>
      <c r="I25" s="29"/>
      <c r="J25" s="16"/>
      <c r="K25" s="16"/>
      <c r="L25" s="16"/>
      <c r="M25" s="29"/>
    </row>
    <row r="26" ht="15.6" customHeight="1" spans="1:13">
      <c r="A26" s="12"/>
      <c r="B26" s="13"/>
      <c r="C26" s="13"/>
      <c r="D26" s="13"/>
      <c r="E26" s="16"/>
      <c r="F26" s="16"/>
      <c r="G26" s="16"/>
      <c r="H26" s="16"/>
      <c r="I26" s="29"/>
      <c r="J26" s="16"/>
      <c r="K26" s="16"/>
      <c r="L26" s="16"/>
      <c r="M26" s="29"/>
    </row>
    <row r="27" ht="15.6" customHeight="1" spans="1:13">
      <c r="A27" s="12"/>
      <c r="B27" s="13"/>
      <c r="C27" s="13"/>
      <c r="D27" s="13"/>
      <c r="E27" s="16"/>
      <c r="F27" s="16"/>
      <c r="G27" s="16"/>
      <c r="H27" s="16"/>
      <c r="I27" s="29"/>
      <c r="J27" s="16"/>
      <c r="K27" s="16"/>
      <c r="L27" s="16"/>
      <c r="M27" s="29"/>
    </row>
    <row r="28" ht="15.6" customHeight="1" spans="1:13">
      <c r="A28" s="12"/>
      <c r="B28" s="13"/>
      <c r="C28" s="13"/>
      <c r="D28" s="13"/>
      <c r="E28" s="16"/>
      <c r="F28" s="16"/>
      <c r="G28" s="16"/>
      <c r="H28" s="16"/>
      <c r="I28" s="29"/>
      <c r="J28" s="16"/>
      <c r="K28" s="16"/>
      <c r="L28" s="16"/>
      <c r="M28" s="29"/>
    </row>
    <row r="29" ht="15.6" customHeight="1" spans="1:13">
      <c r="A29" s="12"/>
      <c r="B29" s="13"/>
      <c r="C29" s="13"/>
      <c r="D29" s="13"/>
      <c r="E29" s="16"/>
      <c r="F29" s="16"/>
      <c r="G29" s="16"/>
      <c r="H29" s="16"/>
      <c r="I29" s="29"/>
      <c r="J29" s="16"/>
      <c r="K29" s="16"/>
      <c r="L29" s="16"/>
      <c r="M29" s="29"/>
    </row>
    <row r="30" ht="15.6" customHeight="1" spans="1:13">
      <c r="A30" s="12"/>
      <c r="B30" s="13"/>
      <c r="C30" s="13"/>
      <c r="D30" s="13"/>
      <c r="E30" s="16"/>
      <c r="F30" s="16"/>
      <c r="G30" s="16"/>
      <c r="H30" s="16"/>
      <c r="I30" s="29"/>
      <c r="J30" s="16"/>
      <c r="K30" s="16"/>
      <c r="L30" s="16"/>
      <c r="M30" s="29"/>
    </row>
    <row r="31" ht="15.6" customHeight="1" spans="1:13">
      <c r="A31" s="12"/>
      <c r="B31" s="13"/>
      <c r="C31" s="13"/>
      <c r="D31" s="13"/>
      <c r="E31" s="16"/>
      <c r="F31" s="16"/>
      <c r="G31" s="16"/>
      <c r="H31" s="16"/>
      <c r="I31" s="29"/>
      <c r="J31" s="16"/>
      <c r="K31" s="16"/>
      <c r="L31" s="16"/>
      <c r="M31" s="29"/>
    </row>
    <row r="32" ht="15.6" customHeight="1" spans="1:13">
      <c r="A32" s="12"/>
      <c r="B32" s="13"/>
      <c r="C32" s="13"/>
      <c r="D32" s="13"/>
      <c r="E32" s="16"/>
      <c r="F32" s="16"/>
      <c r="G32" s="16"/>
      <c r="H32" s="16"/>
      <c r="I32" s="29"/>
      <c r="J32" s="16"/>
      <c r="K32" s="16"/>
      <c r="L32" s="16"/>
      <c r="M32" s="29"/>
    </row>
    <row r="33" ht="15.6" customHeight="1" spans="1:13">
      <c r="A33" s="12"/>
      <c r="B33" s="13"/>
      <c r="C33" s="13"/>
      <c r="D33" s="13"/>
      <c r="E33" s="16"/>
      <c r="F33" s="16"/>
      <c r="G33" s="16"/>
      <c r="H33" s="16"/>
      <c r="I33" s="29"/>
      <c r="J33" s="16"/>
      <c r="K33" s="16"/>
      <c r="L33" s="16"/>
      <c r="M33" s="29"/>
    </row>
    <row r="34" ht="15.6" customHeight="1" spans="1:13">
      <c r="A34" s="12"/>
      <c r="B34" s="13"/>
      <c r="C34" s="13"/>
      <c r="D34" s="13"/>
      <c r="E34" s="16"/>
      <c r="F34" s="16"/>
      <c r="G34" s="16"/>
      <c r="H34" s="16"/>
      <c r="I34" s="29"/>
      <c r="J34" s="16"/>
      <c r="K34" s="16"/>
      <c r="L34" s="16"/>
      <c r="M34" s="29"/>
    </row>
    <row r="35" ht="15.6" customHeight="1" spans="1:13">
      <c r="A35" s="12"/>
      <c r="B35" s="13"/>
      <c r="C35" s="13"/>
      <c r="D35" s="13"/>
      <c r="E35" s="16"/>
      <c r="F35" s="16"/>
      <c r="G35" s="16"/>
      <c r="H35" s="16"/>
      <c r="I35" s="29"/>
      <c r="J35" s="16"/>
      <c r="K35" s="16"/>
      <c r="L35" s="16"/>
      <c r="M35" s="29"/>
    </row>
    <row r="36" ht="15.6" customHeight="1" spans="1:13">
      <c r="A36" s="12"/>
      <c r="B36" s="13"/>
      <c r="C36" s="13"/>
      <c r="D36" s="13"/>
      <c r="E36" s="16"/>
      <c r="F36" s="16"/>
      <c r="G36" s="16"/>
      <c r="H36" s="16"/>
      <c r="I36" s="29"/>
      <c r="J36" s="16"/>
      <c r="K36" s="16"/>
      <c r="L36" s="16"/>
      <c r="M36" s="29"/>
    </row>
    <row r="37" ht="15.6" customHeight="1" spans="1:13">
      <c r="A37" s="12"/>
      <c r="B37" s="13"/>
      <c r="C37" s="13"/>
      <c r="D37" s="13"/>
      <c r="E37" s="16"/>
      <c r="F37" s="16"/>
      <c r="G37" s="16"/>
      <c r="H37" s="16"/>
      <c r="I37" s="29"/>
      <c r="J37" s="16"/>
      <c r="K37" s="16"/>
      <c r="L37" s="16"/>
      <c r="M37" s="29"/>
    </row>
    <row r="38" ht="15.6" customHeight="1" spans="1:13">
      <c r="A38" s="12"/>
      <c r="B38" s="13"/>
      <c r="C38" s="13"/>
      <c r="D38" s="13"/>
      <c r="E38" s="16"/>
      <c r="F38" s="16"/>
      <c r="G38" s="16"/>
      <c r="H38" s="16"/>
      <c r="I38" s="29"/>
      <c r="J38" s="16"/>
      <c r="K38" s="16"/>
      <c r="L38" s="16"/>
      <c r="M38" s="29"/>
    </row>
    <row r="39" ht="15.6" customHeight="1" spans="1:13">
      <c r="A39" s="12"/>
      <c r="B39" s="13"/>
      <c r="C39" s="13"/>
      <c r="D39" s="13"/>
      <c r="E39" s="16"/>
      <c r="F39" s="16"/>
      <c r="G39" s="16"/>
      <c r="H39" s="16"/>
      <c r="I39" s="29"/>
      <c r="J39" s="16"/>
      <c r="K39" s="16"/>
      <c r="L39" s="16"/>
      <c r="M39" s="29"/>
    </row>
    <row r="40" ht="15.6" customHeight="1" spans="1:13">
      <c r="A40" s="12"/>
      <c r="B40" s="13"/>
      <c r="C40" s="13"/>
      <c r="D40" s="13"/>
      <c r="E40" s="16"/>
      <c r="F40" s="16"/>
      <c r="G40" s="16"/>
      <c r="H40" s="16"/>
      <c r="I40" s="29"/>
      <c r="J40" s="16"/>
      <c r="K40" s="16"/>
      <c r="L40" s="16"/>
      <c r="M40" s="29"/>
    </row>
    <row r="41" ht="15.6" customHeight="1" spans="1:13">
      <c r="A41" s="12"/>
      <c r="B41" s="13"/>
      <c r="C41" s="13"/>
      <c r="D41" s="13"/>
      <c r="E41" s="16"/>
      <c r="F41" s="16"/>
      <c r="G41" s="16"/>
      <c r="H41" s="16"/>
      <c r="I41" s="29"/>
      <c r="J41" s="16"/>
      <c r="K41" s="16"/>
      <c r="L41" s="16"/>
      <c r="M41" s="29"/>
    </row>
    <row r="42" ht="15.6" customHeight="1" spans="1:13">
      <c r="A42" s="12"/>
      <c r="B42" s="13"/>
      <c r="C42" s="13"/>
      <c r="D42" s="13"/>
      <c r="E42" s="16"/>
      <c r="F42" s="16"/>
      <c r="G42" s="16"/>
      <c r="H42" s="16"/>
      <c r="I42" s="29"/>
      <c r="J42" s="16"/>
      <c r="K42" s="16"/>
      <c r="L42" s="16"/>
      <c r="M42" s="29"/>
    </row>
    <row r="43" ht="15.6" customHeight="1" spans="1:13">
      <c r="A43" s="12"/>
      <c r="B43" s="13"/>
      <c r="C43" s="13"/>
      <c r="D43" s="13"/>
      <c r="E43" s="16"/>
      <c r="F43" s="16"/>
      <c r="G43" s="16"/>
      <c r="H43" s="16"/>
      <c r="I43" s="29"/>
      <c r="J43" s="16"/>
      <c r="K43" s="16"/>
      <c r="L43" s="16"/>
      <c r="M43" s="29"/>
    </row>
    <row r="44" ht="15.6" customHeight="1" spans="1:13">
      <c r="A44" s="12"/>
      <c r="B44" s="13"/>
      <c r="C44" s="13"/>
      <c r="D44" s="13"/>
      <c r="E44" s="16"/>
      <c r="F44" s="16"/>
      <c r="G44" s="16"/>
      <c r="H44" s="16"/>
      <c r="I44" s="29"/>
      <c r="J44" s="16"/>
      <c r="K44" s="16"/>
      <c r="L44" s="16"/>
      <c r="M44" s="29"/>
    </row>
    <row r="45" ht="15.6" customHeight="1" spans="1:13">
      <c r="A45" s="12"/>
      <c r="B45" s="13"/>
      <c r="C45" s="13"/>
      <c r="D45" s="13"/>
      <c r="E45" s="16"/>
      <c r="F45" s="16"/>
      <c r="G45" s="16"/>
      <c r="H45" s="16"/>
      <c r="I45" s="29"/>
      <c r="J45" s="16"/>
      <c r="K45" s="16"/>
      <c r="L45" s="16"/>
      <c r="M45" s="29"/>
    </row>
    <row r="46" ht="15.6" customHeight="1" spans="1:13">
      <c r="A46" s="12"/>
      <c r="B46" s="13"/>
      <c r="C46" s="13"/>
      <c r="D46" s="13"/>
      <c r="E46" s="16"/>
      <c r="F46" s="16"/>
      <c r="G46" s="16"/>
      <c r="H46" s="16"/>
      <c r="I46" s="29"/>
      <c r="J46" s="16"/>
      <c r="K46" s="16"/>
      <c r="L46" s="16"/>
      <c r="M46" s="29"/>
    </row>
    <row r="47" ht="15.6" customHeight="1" spans="1:13">
      <c r="A47" s="12"/>
      <c r="B47" s="13"/>
      <c r="C47" s="13"/>
      <c r="D47" s="13"/>
      <c r="E47" s="16"/>
      <c r="F47" s="16"/>
      <c r="G47" s="16"/>
      <c r="H47" s="16"/>
      <c r="I47" s="29"/>
      <c r="J47" s="16"/>
      <c r="K47" s="16"/>
      <c r="L47" s="16"/>
      <c r="M47" s="29"/>
    </row>
    <row r="48" ht="15.6" customHeight="1" spans="1:13">
      <c r="A48" s="12"/>
      <c r="B48" s="13"/>
      <c r="C48" s="13"/>
      <c r="D48" s="13"/>
      <c r="E48" s="16"/>
      <c r="F48" s="16"/>
      <c r="G48" s="16"/>
      <c r="H48" s="16"/>
      <c r="I48" s="29"/>
      <c r="J48" s="16"/>
      <c r="K48" s="16"/>
      <c r="L48" s="16"/>
      <c r="M48" s="29"/>
    </row>
    <row r="49" ht="15.6" customHeight="1" spans="1:13">
      <c r="A49" s="12"/>
      <c r="B49" s="13"/>
      <c r="C49" s="13"/>
      <c r="D49" s="13"/>
      <c r="E49" s="16"/>
      <c r="F49" s="16"/>
      <c r="G49" s="16"/>
      <c r="H49" s="16"/>
      <c r="I49" s="29"/>
      <c r="J49" s="16"/>
      <c r="K49" s="16"/>
      <c r="L49" s="16"/>
      <c r="M49" s="29"/>
    </row>
    <row r="50" ht="15.6" customHeight="1" spans="1:13">
      <c r="A50" s="12"/>
      <c r="B50" s="13"/>
      <c r="C50" s="13"/>
      <c r="D50" s="13"/>
      <c r="E50" s="16"/>
      <c r="F50" s="16"/>
      <c r="G50" s="16"/>
      <c r="H50" s="16"/>
      <c r="I50" s="29"/>
      <c r="J50" s="16"/>
      <c r="K50" s="16"/>
      <c r="L50" s="16"/>
      <c r="M50" s="29"/>
    </row>
    <row r="51" ht="15.6" customHeight="1" spans="1:13">
      <c r="A51" s="12"/>
      <c r="B51" s="13"/>
      <c r="C51" s="13"/>
      <c r="D51" s="13"/>
      <c r="E51" s="16"/>
      <c r="F51" s="16"/>
      <c r="G51" s="16"/>
      <c r="H51" s="16"/>
      <c r="I51" s="29"/>
      <c r="J51" s="16"/>
      <c r="K51" s="16"/>
      <c r="L51" s="16"/>
      <c r="M51" s="29"/>
    </row>
    <row r="52" ht="15.6" customHeight="1" spans="1:13">
      <c r="A52" s="12"/>
      <c r="B52" s="13"/>
      <c r="C52" s="13"/>
      <c r="D52" s="13"/>
      <c r="E52" s="16"/>
      <c r="F52" s="16"/>
      <c r="G52" s="16"/>
      <c r="H52" s="16"/>
      <c r="I52" s="29"/>
      <c r="J52" s="16"/>
      <c r="K52" s="16"/>
      <c r="L52" s="16"/>
      <c r="M52" s="29"/>
    </row>
    <row r="53" ht="15.6" customHeight="1" spans="1:13">
      <c r="A53" s="12"/>
      <c r="B53" s="13"/>
      <c r="C53" s="13"/>
      <c r="D53" s="13"/>
      <c r="E53" s="16"/>
      <c r="F53" s="16"/>
      <c r="G53" s="16"/>
      <c r="H53" s="16"/>
      <c r="I53" s="29"/>
      <c r="J53" s="16"/>
      <c r="K53" s="16"/>
      <c r="L53" s="16"/>
      <c r="M53" s="29"/>
    </row>
    <row r="54" ht="15.6" customHeight="1" spans="1:13">
      <c r="A54" s="12"/>
      <c r="B54" s="13"/>
      <c r="C54" s="13"/>
      <c r="D54" s="13"/>
      <c r="E54" s="16"/>
      <c r="F54" s="16"/>
      <c r="G54" s="16"/>
      <c r="H54" s="16"/>
      <c r="I54" s="29"/>
      <c r="J54" s="16"/>
      <c r="K54" s="16"/>
      <c r="L54" s="16"/>
      <c r="M54" s="29"/>
    </row>
    <row r="55" ht="15.6" customHeight="1" spans="1:13">
      <c r="A55" s="12"/>
      <c r="B55" s="13"/>
      <c r="C55" s="13"/>
      <c r="D55" s="13"/>
      <c r="E55" s="16"/>
      <c r="F55" s="16"/>
      <c r="G55" s="16"/>
      <c r="H55" s="16"/>
      <c r="I55" s="29"/>
      <c r="J55" s="16"/>
      <c r="K55" s="16"/>
      <c r="L55" s="16"/>
      <c r="M55" s="29"/>
    </row>
    <row r="56" ht="15.6" customHeight="1" spans="1:13">
      <c r="A56" s="12"/>
      <c r="B56" s="13"/>
      <c r="C56" s="13"/>
      <c r="D56" s="13"/>
      <c r="E56" s="16"/>
      <c r="F56" s="16"/>
      <c r="G56" s="16"/>
      <c r="H56" s="16"/>
      <c r="I56" s="29"/>
      <c r="J56" s="16"/>
      <c r="K56" s="16"/>
      <c r="L56" s="16"/>
      <c r="M56" s="29"/>
    </row>
    <row r="57" ht="15.6" customHeight="1" spans="1:13">
      <c r="A57" s="12"/>
      <c r="B57" s="13"/>
      <c r="C57" s="13"/>
      <c r="D57" s="13"/>
      <c r="E57" s="16"/>
      <c r="F57" s="16"/>
      <c r="G57" s="16"/>
      <c r="H57" s="16"/>
      <c r="I57" s="29"/>
      <c r="J57" s="16"/>
      <c r="K57" s="16"/>
      <c r="L57" s="16"/>
      <c r="M57" s="29"/>
    </row>
    <row r="58" ht="15.6" customHeight="1" spans="1:13">
      <c r="A58" s="12"/>
      <c r="B58" s="13"/>
      <c r="C58" s="13"/>
      <c r="D58" s="13"/>
      <c r="E58" s="16"/>
      <c r="F58" s="16"/>
      <c r="G58" s="16"/>
      <c r="H58" s="16"/>
      <c r="I58" s="29"/>
      <c r="J58" s="16"/>
      <c r="K58" s="16"/>
      <c r="L58" s="16"/>
      <c r="M58" s="29"/>
    </row>
    <row r="59" ht="15.6" customHeight="1" spans="1:13">
      <c r="A59" s="12"/>
      <c r="B59" s="13"/>
      <c r="C59" s="13"/>
      <c r="D59" s="13"/>
      <c r="E59" s="16"/>
      <c r="F59" s="16"/>
      <c r="G59" s="16"/>
      <c r="H59" s="16"/>
      <c r="I59" s="29"/>
      <c r="J59" s="16"/>
      <c r="K59" s="16"/>
      <c r="L59" s="16"/>
      <c r="M59" s="29"/>
    </row>
    <row r="60" ht="15.6" customHeight="1" spans="1:13">
      <c r="A60" s="12"/>
      <c r="B60" s="13"/>
      <c r="C60" s="13"/>
      <c r="D60" s="13"/>
      <c r="E60" s="16"/>
      <c r="F60" s="16"/>
      <c r="G60" s="16"/>
      <c r="H60" s="16"/>
      <c r="I60" s="29"/>
      <c r="J60" s="16"/>
      <c r="K60" s="16"/>
      <c r="L60" s="16"/>
      <c r="M60" s="29"/>
    </row>
    <row r="61" ht="15.6" customHeight="1" spans="1:13">
      <c r="A61" s="12"/>
      <c r="B61" s="13"/>
      <c r="C61" s="13"/>
      <c r="D61" s="13"/>
      <c r="E61" s="16"/>
      <c r="F61" s="16"/>
      <c r="G61" s="16"/>
      <c r="H61" s="16"/>
      <c r="I61" s="29"/>
      <c r="J61" s="16"/>
      <c r="K61" s="16"/>
      <c r="L61" s="16"/>
      <c r="M61" s="29"/>
    </row>
    <row r="62" ht="15.6" customHeight="1" spans="1:13">
      <c r="A62" s="12"/>
      <c r="B62" s="13"/>
      <c r="C62" s="13"/>
      <c r="D62" s="13"/>
      <c r="E62" s="16"/>
      <c r="F62" s="16"/>
      <c r="G62" s="16"/>
      <c r="H62" s="16"/>
      <c r="I62" s="29"/>
      <c r="J62" s="16"/>
      <c r="K62" s="16"/>
      <c r="L62" s="16"/>
      <c r="M62" s="29"/>
    </row>
    <row r="63" ht="15.6" customHeight="1" spans="1:13">
      <c r="A63" s="12"/>
      <c r="B63" s="13"/>
      <c r="C63" s="13"/>
      <c r="D63" s="13"/>
      <c r="E63" s="16"/>
      <c r="F63" s="16"/>
      <c r="G63" s="16"/>
      <c r="H63" s="16"/>
      <c r="I63" s="29"/>
      <c r="J63" s="16"/>
      <c r="K63" s="16"/>
      <c r="L63" s="16"/>
      <c r="M63" s="29"/>
    </row>
    <row r="64" ht="15.6" customHeight="1" spans="1:13">
      <c r="A64" s="12"/>
      <c r="B64" s="13"/>
      <c r="C64" s="13"/>
      <c r="D64" s="13"/>
      <c r="E64" s="16"/>
      <c r="F64" s="16"/>
      <c r="G64" s="16"/>
      <c r="H64" s="16"/>
      <c r="I64" s="29"/>
      <c r="J64" s="16"/>
      <c r="K64" s="16"/>
      <c r="L64" s="16"/>
      <c r="M64" s="29"/>
    </row>
    <row r="65" ht="15.6" customHeight="1" spans="1:13">
      <c r="A65" s="12"/>
      <c r="B65" s="13"/>
      <c r="C65" s="13"/>
      <c r="D65" s="13"/>
      <c r="E65" s="16"/>
      <c r="F65" s="16"/>
      <c r="G65" s="16"/>
      <c r="H65" s="16"/>
      <c r="I65" s="29"/>
      <c r="J65" s="16"/>
      <c r="K65" s="16"/>
      <c r="L65" s="16"/>
      <c r="M65" s="29"/>
    </row>
    <row r="66" ht="15.6" customHeight="1" spans="1:13">
      <c r="A66" s="12"/>
      <c r="B66" s="13"/>
      <c r="C66" s="13"/>
      <c r="D66" s="13"/>
      <c r="E66" s="16"/>
      <c r="F66" s="16"/>
      <c r="G66" s="16"/>
      <c r="H66" s="16"/>
      <c r="I66" s="29"/>
      <c r="J66" s="16"/>
      <c r="K66" s="16"/>
      <c r="L66" s="16"/>
      <c r="M66" s="29"/>
    </row>
    <row r="67" ht="15.6" customHeight="1" spans="1:13">
      <c r="A67" s="12"/>
      <c r="B67" s="13"/>
      <c r="C67" s="13"/>
      <c r="D67" s="13"/>
      <c r="E67" s="16"/>
      <c r="F67" s="16"/>
      <c r="G67" s="16"/>
      <c r="H67" s="16"/>
      <c r="I67" s="29"/>
      <c r="J67" s="16"/>
      <c r="K67" s="16"/>
      <c r="L67" s="16"/>
      <c r="M67" s="29"/>
    </row>
    <row r="68" ht="15.6" customHeight="1" spans="1:13">
      <c r="A68" s="12"/>
      <c r="B68" s="13"/>
      <c r="C68" s="13"/>
      <c r="D68" s="13"/>
      <c r="E68" s="16"/>
      <c r="F68" s="16"/>
      <c r="G68" s="16"/>
      <c r="H68" s="16"/>
      <c r="I68" s="29"/>
      <c r="J68" s="16"/>
      <c r="K68" s="16"/>
      <c r="L68" s="16"/>
      <c r="M68" s="29"/>
    </row>
    <row r="69" ht="15.6" customHeight="1" spans="1:13">
      <c r="A69" s="12"/>
      <c r="B69" s="13"/>
      <c r="C69" s="13"/>
      <c r="D69" s="13"/>
      <c r="E69" s="16"/>
      <c r="F69" s="16"/>
      <c r="G69" s="16"/>
      <c r="H69" s="16"/>
      <c r="I69" s="29"/>
      <c r="J69" s="16"/>
      <c r="K69" s="16"/>
      <c r="L69" s="16"/>
      <c r="M69" s="29"/>
    </row>
    <row r="70" ht="15.6" customHeight="1" spans="1:13">
      <c r="A70" s="12"/>
      <c r="B70" s="13"/>
      <c r="C70" s="13"/>
      <c r="D70" s="13"/>
      <c r="E70" s="16"/>
      <c r="F70" s="16"/>
      <c r="G70" s="16"/>
      <c r="H70" s="16"/>
      <c r="I70" s="29"/>
      <c r="J70" s="16"/>
      <c r="K70" s="16"/>
      <c r="L70" s="16"/>
      <c r="M70" s="29"/>
    </row>
    <row r="71" ht="15.6" customHeight="1" spans="1:13">
      <c r="A71" s="12"/>
      <c r="B71" s="13"/>
      <c r="C71" s="13"/>
      <c r="D71" s="13"/>
      <c r="E71" s="16"/>
      <c r="F71" s="16"/>
      <c r="G71" s="16"/>
      <c r="H71" s="16"/>
      <c r="I71" s="29"/>
      <c r="J71" s="16"/>
      <c r="K71" s="16"/>
      <c r="L71" s="16"/>
      <c r="M71" s="29"/>
    </row>
    <row r="72" ht="15.6" customHeight="1" spans="1:13">
      <c r="A72" s="12"/>
      <c r="B72" s="13"/>
      <c r="C72" s="13"/>
      <c r="D72" s="13"/>
      <c r="E72" s="16"/>
      <c r="F72" s="16"/>
      <c r="G72" s="16"/>
      <c r="H72" s="16"/>
      <c r="I72" s="29"/>
      <c r="J72" s="16"/>
      <c r="K72" s="16"/>
      <c r="L72" s="16"/>
      <c r="M72" s="29"/>
    </row>
    <row r="73" ht="15.6" customHeight="1" spans="1:13">
      <c r="A73" s="12"/>
      <c r="B73" s="13"/>
      <c r="C73" s="13"/>
      <c r="D73" s="13"/>
      <c r="E73" s="16"/>
      <c r="F73" s="16"/>
      <c r="G73" s="16"/>
      <c r="H73" s="16"/>
      <c r="I73" s="29"/>
      <c r="J73" s="16"/>
      <c r="K73" s="16"/>
      <c r="L73" s="16"/>
      <c r="M73" s="29"/>
    </row>
    <row r="74" ht="15.6" customHeight="1" spans="1:13">
      <c r="A74" s="12"/>
      <c r="B74" s="13"/>
      <c r="C74" s="13"/>
      <c r="D74" s="13"/>
      <c r="E74" s="16"/>
      <c r="F74" s="16"/>
      <c r="G74" s="16"/>
      <c r="H74" s="16"/>
      <c r="I74" s="29"/>
      <c r="J74" s="16"/>
      <c r="K74" s="16"/>
      <c r="L74" s="16"/>
      <c r="M74" s="29"/>
    </row>
    <row r="75" ht="15.6" customHeight="1" spans="1:13">
      <c r="A75" s="12"/>
      <c r="B75" s="13"/>
      <c r="C75" s="13"/>
      <c r="D75" s="13"/>
      <c r="E75" s="16"/>
      <c r="F75" s="16"/>
      <c r="G75" s="16"/>
      <c r="H75" s="16"/>
      <c r="I75" s="29"/>
      <c r="J75" s="16"/>
      <c r="K75" s="16"/>
      <c r="L75" s="16"/>
      <c r="M75" s="29"/>
    </row>
    <row r="76" ht="15.6" customHeight="1" spans="1:13">
      <c r="A76" s="12"/>
      <c r="B76" s="13"/>
      <c r="C76" s="13"/>
      <c r="D76" s="13"/>
      <c r="E76" s="16"/>
      <c r="F76" s="16"/>
      <c r="G76" s="16"/>
      <c r="H76" s="16"/>
      <c r="I76" s="29"/>
      <c r="J76" s="16"/>
      <c r="K76" s="16"/>
      <c r="L76" s="16"/>
      <c r="M76" s="29"/>
    </row>
    <row r="77" ht="15.6" customHeight="1" spans="1:13">
      <c r="A77" s="12"/>
      <c r="B77" s="13"/>
      <c r="C77" s="13"/>
      <c r="D77" s="13"/>
      <c r="E77" s="16"/>
      <c r="F77" s="16"/>
      <c r="G77" s="16"/>
      <c r="H77" s="16"/>
      <c r="I77" s="29"/>
      <c r="J77" s="16"/>
      <c r="K77" s="16"/>
      <c r="L77" s="16"/>
      <c r="M77" s="29"/>
    </row>
    <row r="78" ht="15.6" customHeight="1" spans="1:13">
      <c r="A78" s="12"/>
      <c r="B78" s="13"/>
      <c r="C78" s="13"/>
      <c r="D78" s="13"/>
      <c r="E78" s="16"/>
      <c r="F78" s="16"/>
      <c r="G78" s="16"/>
      <c r="H78" s="16"/>
      <c r="I78" s="29"/>
      <c r="J78" s="16"/>
      <c r="K78" s="16"/>
      <c r="L78" s="16"/>
      <c r="M78" s="29"/>
    </row>
    <row r="79" ht="15.6" customHeight="1" spans="1:13">
      <c r="A79" s="12"/>
      <c r="B79" s="13"/>
      <c r="C79" s="13"/>
      <c r="D79" s="13"/>
      <c r="E79" s="16"/>
      <c r="F79" s="16"/>
      <c r="G79" s="16"/>
      <c r="H79" s="16"/>
      <c r="I79" s="29"/>
      <c r="J79" s="16"/>
      <c r="K79" s="16"/>
      <c r="L79" s="16"/>
      <c r="M79" s="29"/>
    </row>
    <row r="80" ht="15.6" customHeight="1" spans="1:13">
      <c r="A80" s="12"/>
      <c r="B80" s="13"/>
      <c r="C80" s="13"/>
      <c r="D80" s="13"/>
      <c r="E80" s="16"/>
      <c r="F80" s="16"/>
      <c r="G80" s="16"/>
      <c r="H80" s="16"/>
      <c r="I80" s="29"/>
      <c r="J80" s="16"/>
      <c r="K80" s="16"/>
      <c r="L80" s="16"/>
      <c r="M80" s="29"/>
    </row>
    <row r="81" ht="15.6" customHeight="1" spans="1:13">
      <c r="A81" s="12"/>
      <c r="B81" s="13"/>
      <c r="C81" s="13"/>
      <c r="D81" s="13"/>
      <c r="E81" s="16"/>
      <c r="F81" s="16"/>
      <c r="G81" s="16"/>
      <c r="H81" s="16"/>
      <c r="I81" s="29"/>
      <c r="J81" s="16"/>
      <c r="K81" s="16"/>
      <c r="L81" s="16"/>
      <c r="M81" s="29"/>
    </row>
    <row r="82" ht="15.6" customHeight="1" spans="1:13">
      <c r="A82" s="12"/>
      <c r="B82" s="13"/>
      <c r="C82" s="13"/>
      <c r="D82" s="13"/>
      <c r="E82" s="16"/>
      <c r="F82" s="16"/>
      <c r="G82" s="16"/>
      <c r="H82" s="16"/>
      <c r="I82" s="29"/>
      <c r="J82" s="16"/>
      <c r="K82" s="16"/>
      <c r="L82" s="16"/>
      <c r="M82" s="29"/>
    </row>
    <row r="83" ht="15.6" customHeight="1" spans="1:13">
      <c r="A83" s="12"/>
      <c r="B83" s="13"/>
      <c r="C83" s="13"/>
      <c r="D83" s="13"/>
      <c r="E83" s="16"/>
      <c r="F83" s="16"/>
      <c r="G83" s="16"/>
      <c r="H83" s="16"/>
      <c r="I83" s="29"/>
      <c r="J83" s="16"/>
      <c r="K83" s="16"/>
      <c r="L83" s="16"/>
      <c r="M83" s="29"/>
    </row>
    <row r="84" ht="15.6" customHeight="1" spans="1:13">
      <c r="A84" s="12"/>
      <c r="B84" s="13"/>
      <c r="C84" s="13"/>
      <c r="D84" s="13"/>
      <c r="E84" s="16"/>
      <c r="F84" s="16"/>
      <c r="G84" s="16"/>
      <c r="H84" s="16"/>
      <c r="I84" s="29"/>
      <c r="J84" s="16"/>
      <c r="K84" s="16"/>
      <c r="L84" s="16"/>
      <c r="M84" s="29"/>
    </row>
    <row r="85" ht="15.6" customHeight="1" spans="1:13">
      <c r="A85" s="12"/>
      <c r="B85" s="13"/>
      <c r="C85" s="13"/>
      <c r="D85" s="13"/>
      <c r="E85" s="16"/>
      <c r="F85" s="16"/>
      <c r="G85" s="16"/>
      <c r="H85" s="16"/>
      <c r="I85" s="29"/>
      <c r="J85" s="16"/>
      <c r="K85" s="16"/>
      <c r="L85" s="16"/>
      <c r="M85" s="29"/>
    </row>
    <row r="86" ht="15.6" customHeight="1" spans="1:13">
      <c r="A86" s="12"/>
      <c r="B86" s="13"/>
      <c r="C86" s="13"/>
      <c r="D86" s="13"/>
      <c r="E86" s="16"/>
      <c r="F86" s="16"/>
      <c r="G86" s="16"/>
      <c r="H86" s="16"/>
      <c r="I86" s="29"/>
      <c r="J86" s="16"/>
      <c r="K86" s="16"/>
      <c r="L86" s="16"/>
      <c r="M86" s="29"/>
    </row>
    <row r="87" ht="15.6" customHeight="1" spans="1:13">
      <c r="A87" s="12"/>
      <c r="B87" s="13"/>
      <c r="C87" s="13"/>
      <c r="D87" s="13"/>
      <c r="E87" s="16"/>
      <c r="F87" s="16"/>
      <c r="G87" s="16"/>
      <c r="H87" s="16"/>
      <c r="I87" s="29"/>
      <c r="J87" s="16"/>
      <c r="K87" s="16"/>
      <c r="L87" s="16"/>
      <c r="M87" s="29"/>
    </row>
    <row r="88" ht="15.6" customHeight="1" spans="1:13">
      <c r="A88" s="12"/>
      <c r="B88" s="13"/>
      <c r="C88" s="13"/>
      <c r="D88" s="13"/>
      <c r="E88" s="16"/>
      <c r="F88" s="16"/>
      <c r="G88" s="16"/>
      <c r="H88" s="16"/>
      <c r="I88" s="29"/>
      <c r="J88" s="16"/>
      <c r="K88" s="16"/>
      <c r="L88" s="16"/>
      <c r="M88" s="29"/>
    </row>
    <row r="89" ht="15.6" customHeight="1" spans="1:13">
      <c r="A89" s="12"/>
      <c r="B89" s="13"/>
      <c r="C89" s="13"/>
      <c r="D89" s="13"/>
      <c r="E89" s="16"/>
      <c r="F89" s="16"/>
      <c r="G89" s="16"/>
      <c r="H89" s="16"/>
      <c r="I89" s="29"/>
      <c r="J89" s="16"/>
      <c r="K89" s="16"/>
      <c r="L89" s="16"/>
      <c r="M89" s="29"/>
    </row>
    <row r="90" ht="15.6" customHeight="1" spans="1:13">
      <c r="A90" s="12"/>
      <c r="B90" s="13"/>
      <c r="C90" s="13"/>
      <c r="D90" s="13"/>
      <c r="E90" s="16"/>
      <c r="F90" s="16"/>
      <c r="G90" s="16"/>
      <c r="H90" s="16"/>
      <c r="I90" s="29"/>
      <c r="J90" s="16"/>
      <c r="K90" s="16"/>
      <c r="L90" s="16"/>
      <c r="M90" s="29"/>
    </row>
    <row r="91" ht="15.6" customHeight="1" spans="1:13">
      <c r="A91" s="12"/>
      <c r="B91" s="13"/>
      <c r="C91" s="13"/>
      <c r="D91" s="13"/>
      <c r="E91" s="16"/>
      <c r="F91" s="16"/>
      <c r="G91" s="16"/>
      <c r="H91" s="16"/>
      <c r="I91" s="29"/>
      <c r="J91" s="16"/>
      <c r="K91" s="16"/>
      <c r="L91" s="16"/>
      <c r="M91" s="29"/>
    </row>
    <row r="92" ht="15.6" customHeight="1" spans="1:13">
      <c r="A92" s="12"/>
      <c r="B92" s="13"/>
      <c r="C92" s="13"/>
      <c r="D92" s="13"/>
      <c r="E92" s="16"/>
      <c r="F92" s="16"/>
      <c r="G92" s="16"/>
      <c r="H92" s="16"/>
      <c r="I92" s="29"/>
      <c r="J92" s="16"/>
      <c r="K92" s="16"/>
      <c r="L92" s="16"/>
      <c r="M92" s="29"/>
    </row>
    <row r="93" ht="15.6" customHeight="1" spans="1:13">
      <c r="A93" s="12"/>
      <c r="B93" s="13"/>
      <c r="C93" s="13"/>
      <c r="D93" s="13"/>
      <c r="E93" s="16"/>
      <c r="F93" s="16"/>
      <c r="G93" s="16"/>
      <c r="H93" s="16"/>
      <c r="I93" s="29"/>
      <c r="J93" s="16"/>
      <c r="K93" s="16"/>
      <c r="L93" s="16"/>
      <c r="M93" s="29"/>
    </row>
    <row r="94" ht="15.6" customHeight="1" spans="1:13">
      <c r="A94" s="12"/>
      <c r="B94" s="13"/>
      <c r="C94" s="13"/>
      <c r="D94" s="13"/>
      <c r="E94" s="16"/>
      <c r="F94" s="16"/>
      <c r="G94" s="16"/>
      <c r="H94" s="16"/>
      <c r="I94" s="29"/>
      <c r="J94" s="16"/>
      <c r="K94" s="16"/>
      <c r="L94" s="16"/>
      <c r="M94" s="29"/>
    </row>
    <row r="95" ht="15.6" customHeight="1" spans="1:13">
      <c r="A95" s="12"/>
      <c r="B95" s="13"/>
      <c r="C95" s="13"/>
      <c r="D95" s="13"/>
      <c r="E95" s="16"/>
      <c r="F95" s="16"/>
      <c r="G95" s="16"/>
      <c r="H95" s="16"/>
      <c r="I95" s="29"/>
      <c r="J95" s="16"/>
      <c r="K95" s="16"/>
      <c r="L95" s="16"/>
      <c r="M95" s="29"/>
    </row>
    <row r="96" ht="15.6" customHeight="1" spans="1:13">
      <c r="A96" s="12"/>
      <c r="B96" s="13"/>
      <c r="C96" s="13"/>
      <c r="D96" s="13"/>
      <c r="E96" s="16"/>
      <c r="F96" s="16"/>
      <c r="G96" s="16"/>
      <c r="H96" s="16"/>
      <c r="I96" s="29"/>
      <c r="J96" s="16"/>
      <c r="K96" s="16"/>
      <c r="L96" s="16"/>
      <c r="M96" s="29"/>
    </row>
    <row r="97" ht="15.6" customHeight="1" spans="1:13">
      <c r="A97" s="12"/>
      <c r="B97" s="13"/>
      <c r="C97" s="13"/>
      <c r="D97" s="13"/>
      <c r="E97" s="16"/>
      <c r="F97" s="16"/>
      <c r="G97" s="16"/>
      <c r="H97" s="16"/>
      <c r="I97" s="29"/>
      <c r="J97" s="16"/>
      <c r="K97" s="16"/>
      <c r="L97" s="16"/>
      <c r="M97" s="29"/>
    </row>
    <row r="98" ht="15.6" customHeight="1" spans="1:13">
      <c r="A98" s="12"/>
      <c r="B98" s="13"/>
      <c r="C98" s="13"/>
      <c r="D98" s="13"/>
      <c r="E98" s="16"/>
      <c r="F98" s="16"/>
      <c r="G98" s="16"/>
      <c r="H98" s="16"/>
      <c r="I98" s="29"/>
      <c r="J98" s="16"/>
      <c r="K98" s="16"/>
      <c r="L98" s="16"/>
      <c r="M98" s="29"/>
    </row>
    <row r="99" ht="15.6" customHeight="1" spans="1:13">
      <c r="A99" s="12"/>
      <c r="B99" s="13"/>
      <c r="C99" s="13"/>
      <c r="D99" s="13"/>
      <c r="E99" s="16"/>
      <c r="F99" s="16"/>
      <c r="G99" s="16"/>
      <c r="H99" s="16"/>
      <c r="I99" s="29"/>
      <c r="J99" s="16"/>
      <c r="K99" s="16"/>
      <c r="L99" s="16"/>
      <c r="M99" s="29"/>
    </row>
    <row r="100" ht="15.6" customHeight="1" spans="1:13">
      <c r="A100" s="12"/>
      <c r="B100" s="13"/>
      <c r="C100" s="13"/>
      <c r="D100" s="13"/>
      <c r="E100" s="16"/>
      <c r="F100" s="16"/>
      <c r="G100" s="16"/>
      <c r="H100" s="16"/>
      <c r="I100" s="29"/>
      <c r="J100" s="16"/>
      <c r="K100" s="16"/>
      <c r="L100" s="16"/>
      <c r="M100" s="29"/>
    </row>
  </sheetData>
  <mergeCells count="4">
    <mergeCell ref="A1:B1"/>
    <mergeCell ref="C1:E1"/>
    <mergeCell ref="F1:I1"/>
    <mergeCell ref="J1:K1"/>
  </mergeCells>
  <conditionalFormatting sqref="A3:E100 J3:M100">
    <cfRule type="expression" dxfId="0" priority="2">
      <formula>MOD(ROW(),2)=0</formula>
    </cfRule>
  </conditionalFormatting>
  <conditionalFormatting sqref="F3:I100">
    <cfRule type="expression" dxfId="0" priority="1">
      <formula>MOD(ROW(),2)=0</formula>
    </cfRule>
  </conditionalFormatting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W100"/>
  <sheetViews>
    <sheetView workbookViewId="0">
      <pane ySplit="2" topLeftCell="A3" activePane="bottomLeft" state="frozen"/>
      <selection/>
      <selection pane="bottomLeft" activeCell="N1" sqref="N1:W4"/>
    </sheetView>
  </sheetViews>
  <sheetFormatPr defaultColWidth="9" defaultRowHeight="14.4"/>
  <cols>
    <col min="1" max="1" width="14.8888888888889" customWidth="1"/>
    <col min="3" max="3" width="22.2222222222222" customWidth="1"/>
  </cols>
  <sheetData>
    <row r="1" ht="31.2" customHeight="1" spans="1:23">
      <c r="A1" s="1" t="s">
        <v>0</v>
      </c>
      <c r="B1" s="2"/>
      <c r="C1" s="3" t="s">
        <v>1</v>
      </c>
      <c r="D1" s="4"/>
      <c r="E1" s="5"/>
      <c r="F1" s="6" t="s">
        <v>2</v>
      </c>
      <c r="G1" s="7"/>
      <c r="H1" s="7"/>
      <c r="I1" s="2"/>
      <c r="J1" s="17" t="s">
        <v>3</v>
      </c>
      <c r="K1" s="2"/>
      <c r="L1" s="18" t="s">
        <v>4</v>
      </c>
      <c r="M1" s="19" t="s">
        <v>5</v>
      </c>
      <c r="N1" s="20" t="s">
        <v>6</v>
      </c>
      <c r="O1" s="21" t="s">
        <v>7</v>
      </c>
      <c r="P1" s="21" t="s">
        <v>8</v>
      </c>
      <c r="Q1" s="21" t="s">
        <v>9</v>
      </c>
      <c r="R1" s="30" t="s">
        <v>10</v>
      </c>
      <c r="S1" s="31" t="s">
        <v>11</v>
      </c>
      <c r="T1" s="32" t="s">
        <v>12</v>
      </c>
      <c r="U1" s="32" t="s">
        <v>13</v>
      </c>
      <c r="V1" s="32" t="s">
        <v>14</v>
      </c>
      <c r="W1" s="33" t="s">
        <v>15</v>
      </c>
    </row>
    <row r="2" ht="47.55" customHeight="1" spans="1:23">
      <c r="A2" s="8" t="s">
        <v>16</v>
      </c>
      <c r="B2" s="9" t="s">
        <v>17</v>
      </c>
      <c r="C2" s="10" t="s">
        <v>18</v>
      </c>
      <c r="D2" s="10" t="s">
        <v>19</v>
      </c>
      <c r="E2" s="10" t="s">
        <v>20</v>
      </c>
      <c r="F2" s="11" t="s">
        <v>21</v>
      </c>
      <c r="G2" s="11" t="s">
        <v>22</v>
      </c>
      <c r="H2" s="11" t="s">
        <v>23</v>
      </c>
      <c r="I2" s="11" t="s">
        <v>24</v>
      </c>
      <c r="J2" s="22" t="s">
        <v>25</v>
      </c>
      <c r="K2" s="22" t="s">
        <v>26</v>
      </c>
      <c r="L2" s="23" t="s">
        <v>27</v>
      </c>
      <c r="M2" s="24" t="s">
        <v>28</v>
      </c>
      <c r="N2" s="25">
        <f>QUARTILE(F3:F200,4)</f>
        <v>0.0959</v>
      </c>
      <c r="O2" s="26">
        <f>QUARTILE(F3:F200,3)</f>
        <v>0.0016</v>
      </c>
      <c r="P2" s="26">
        <f>QUARTILE(F3:F200,2)</f>
        <v>-0.0045</v>
      </c>
      <c r="Q2" s="26">
        <f>QUARTILE(F3:F200,1)</f>
        <v>-0.015925</v>
      </c>
      <c r="R2" s="34">
        <f>QUARTILE(F3:F200,0)</f>
        <v>-0.0613</v>
      </c>
      <c r="S2" s="25">
        <f>QUARTILE(H3:H200,4)</f>
        <v>0.2603</v>
      </c>
      <c r="T2" s="26">
        <f>QUARTILE(H3:H200,3)</f>
        <v>0.11115</v>
      </c>
      <c r="U2" s="26">
        <f>QUARTILE(H3:H200,2)</f>
        <v>0.05595</v>
      </c>
      <c r="V2" s="26">
        <f>QUARTILE(H3:H200,1)</f>
        <v>0.003475</v>
      </c>
      <c r="W2" s="34">
        <f>QUARTILE(H3:H200,0)</f>
        <v>-0.4087</v>
      </c>
    </row>
    <row r="3" ht="15.6" customHeight="1" spans="1:13">
      <c r="A3" s="12" t="s">
        <v>1369</v>
      </c>
      <c r="B3" s="13" t="s">
        <v>38</v>
      </c>
      <c r="C3" s="14" t="s">
        <v>1370</v>
      </c>
      <c r="D3" s="14" t="s">
        <v>1371</v>
      </c>
      <c r="E3" s="15" t="s">
        <v>1372</v>
      </c>
      <c r="F3" s="16">
        <v>0.0959</v>
      </c>
      <c r="G3" s="16">
        <v>-0.4882</v>
      </c>
      <c r="H3" s="16">
        <v>-0.4087</v>
      </c>
      <c r="I3" s="27">
        <v>0.134</v>
      </c>
      <c r="J3" s="16">
        <v>0.6282</v>
      </c>
      <c r="K3" s="16">
        <v>0.6282</v>
      </c>
      <c r="L3" s="16">
        <v>0.7147</v>
      </c>
      <c r="M3" s="29">
        <v>0.1596</v>
      </c>
    </row>
    <row r="4" ht="15.6" customHeight="1" spans="1:13">
      <c r="A4" s="12" t="s">
        <v>1373</v>
      </c>
      <c r="B4" s="13" t="s">
        <v>30</v>
      </c>
      <c r="C4" s="13" t="s">
        <v>1374</v>
      </c>
      <c r="D4" s="13" t="s">
        <v>1375</v>
      </c>
      <c r="E4" s="16" t="s">
        <v>1376</v>
      </c>
      <c r="F4" s="16">
        <v>0.0252</v>
      </c>
      <c r="G4" s="16">
        <v>0.0047</v>
      </c>
      <c r="H4" s="16">
        <v>-0.0199</v>
      </c>
      <c r="I4" s="27">
        <v>0.0809</v>
      </c>
      <c r="J4" s="16">
        <v>0.0835</v>
      </c>
      <c r="K4" s="16">
        <v>0.1401</v>
      </c>
      <c r="L4" s="16">
        <v>0.124</v>
      </c>
      <c r="M4" s="29">
        <v>0.4912</v>
      </c>
    </row>
    <row r="5" ht="15.6" customHeight="1" spans="1:13">
      <c r="A5" s="12" t="s">
        <v>1377</v>
      </c>
      <c r="B5" s="13" t="s">
        <v>30</v>
      </c>
      <c r="C5" s="13" t="s">
        <v>1378</v>
      </c>
      <c r="D5" s="13" t="s">
        <v>1379</v>
      </c>
      <c r="E5" s="16" t="s">
        <v>1380</v>
      </c>
      <c r="F5" s="16">
        <v>0.0125</v>
      </c>
      <c r="G5" s="16">
        <v>-0.0281</v>
      </c>
      <c r="H5" s="16">
        <v>0.1177</v>
      </c>
      <c r="I5" s="27">
        <v>0.1808</v>
      </c>
      <c r="J5" s="16">
        <v>0.0548</v>
      </c>
      <c r="K5" s="16">
        <v>0.11</v>
      </c>
      <c r="L5" s="16">
        <v>0.143</v>
      </c>
      <c r="M5" s="29">
        <v>1.124</v>
      </c>
    </row>
    <row r="6" ht="15.6" customHeight="1" spans="1:13">
      <c r="A6" s="12" t="s">
        <v>1381</v>
      </c>
      <c r="B6" s="13" t="s">
        <v>61</v>
      </c>
      <c r="C6" s="13" t="s">
        <v>1382</v>
      </c>
      <c r="D6" s="13" t="s">
        <v>1371</v>
      </c>
      <c r="E6" s="16" t="s">
        <v>899</v>
      </c>
      <c r="F6" s="16">
        <v>0.0122</v>
      </c>
      <c r="G6" s="16">
        <v>0.0006</v>
      </c>
      <c r="H6" s="16">
        <v>0.0123</v>
      </c>
      <c r="I6" s="27">
        <v>0.3354</v>
      </c>
      <c r="J6" s="16">
        <v>0.1912</v>
      </c>
      <c r="K6" s="16">
        <v>0.1912</v>
      </c>
      <c r="L6" s="16">
        <v>0.5231</v>
      </c>
      <c r="M6" s="29">
        <v>0.6029</v>
      </c>
    </row>
    <row r="7" ht="15.6" customHeight="1" spans="1:13">
      <c r="A7" s="12" t="s">
        <v>1383</v>
      </c>
      <c r="B7" s="13" t="s">
        <v>30</v>
      </c>
      <c r="C7" s="13" t="s">
        <v>1384</v>
      </c>
      <c r="D7" s="13" t="s">
        <v>1375</v>
      </c>
      <c r="E7" s="16" t="s">
        <v>1385</v>
      </c>
      <c r="F7" s="16">
        <v>0.0078</v>
      </c>
      <c r="G7" s="16">
        <v>0.1964</v>
      </c>
      <c r="H7" s="16">
        <v>0.1945</v>
      </c>
      <c r="I7" s="27">
        <v>0.2312</v>
      </c>
      <c r="J7" s="16">
        <v>0.1389</v>
      </c>
      <c r="K7" s="16">
        <v>0.2007</v>
      </c>
      <c r="L7" s="16">
        <v>0.2563</v>
      </c>
      <c r="M7" s="29">
        <v>0.824</v>
      </c>
    </row>
    <row r="8" ht="15.6" customHeight="1" spans="1:13">
      <c r="A8" s="12" t="s">
        <v>574</v>
      </c>
      <c r="B8" s="13" t="s">
        <v>156</v>
      </c>
      <c r="C8" s="13" t="s">
        <v>1386</v>
      </c>
      <c r="D8" s="13" t="s">
        <v>1371</v>
      </c>
      <c r="E8" s="16" t="s">
        <v>1387</v>
      </c>
      <c r="F8" s="16">
        <v>0.0066</v>
      </c>
      <c r="G8" s="16">
        <v>-0.0352</v>
      </c>
      <c r="H8" s="16">
        <v>0.0641</v>
      </c>
      <c r="I8" s="27">
        <v>0.3005</v>
      </c>
      <c r="J8" s="16">
        <v>0.1019</v>
      </c>
      <c r="K8" s="16">
        <v>0.1019</v>
      </c>
      <c r="L8" s="16">
        <v>0.1556</v>
      </c>
      <c r="M8" s="29">
        <v>1.8027</v>
      </c>
    </row>
    <row r="9" ht="15.6" customHeight="1" spans="1:13">
      <c r="A9" s="12" t="s">
        <v>1253</v>
      </c>
      <c r="B9" s="13" t="s">
        <v>156</v>
      </c>
      <c r="C9" s="13" t="s">
        <v>1388</v>
      </c>
      <c r="D9" s="13" t="s">
        <v>1375</v>
      </c>
      <c r="E9" s="16" t="s">
        <v>1389</v>
      </c>
      <c r="F9" s="16">
        <v>0.0062</v>
      </c>
      <c r="G9" s="16">
        <v>0.0168</v>
      </c>
      <c r="H9" s="16">
        <v>0.0766</v>
      </c>
      <c r="I9" s="27">
        <v>0.0739</v>
      </c>
      <c r="J9" s="16">
        <v>0.0213</v>
      </c>
      <c r="K9" s="16">
        <v>0.2308</v>
      </c>
      <c r="L9" s="16">
        <v>0.1253</v>
      </c>
      <c r="M9" s="29">
        <v>0.43</v>
      </c>
    </row>
    <row r="10" ht="15.6" customHeight="1" spans="1:13">
      <c r="A10" s="12" t="s">
        <v>967</v>
      </c>
      <c r="B10" s="13" t="s">
        <v>54</v>
      </c>
      <c r="C10" s="13" t="s">
        <v>1390</v>
      </c>
      <c r="D10" s="13" t="s">
        <v>1371</v>
      </c>
      <c r="E10" s="16" t="s">
        <v>1391</v>
      </c>
      <c r="F10" s="16">
        <v>0.0044</v>
      </c>
      <c r="G10" s="16">
        <v>-0.0159</v>
      </c>
      <c r="H10" s="16">
        <v>0.094</v>
      </c>
      <c r="I10" s="27">
        <v>0.156</v>
      </c>
      <c r="J10" s="16">
        <v>0.0446</v>
      </c>
      <c r="K10" s="16">
        <v>0.0484</v>
      </c>
      <c r="L10" s="16">
        <v>0.0795</v>
      </c>
      <c r="M10" s="29">
        <v>1.7101</v>
      </c>
    </row>
    <row r="11" ht="15.6" customHeight="1" spans="1:13">
      <c r="A11" s="12" t="s">
        <v>1392</v>
      </c>
      <c r="B11" s="13" t="s">
        <v>38</v>
      </c>
      <c r="C11" s="13" t="s">
        <v>1393</v>
      </c>
      <c r="D11" s="13" t="s">
        <v>1375</v>
      </c>
      <c r="E11" s="16" t="s">
        <v>182</v>
      </c>
      <c r="F11" s="16">
        <v>0.0041</v>
      </c>
      <c r="G11" s="16">
        <v>-0.1056</v>
      </c>
      <c r="H11" s="16">
        <v>-0.0976</v>
      </c>
      <c r="I11" s="27">
        <v>0.1209</v>
      </c>
      <c r="J11" s="16">
        <v>0.1619</v>
      </c>
      <c r="K11" s="16">
        <v>0.3066</v>
      </c>
      <c r="L11" s="16">
        <v>0.1312</v>
      </c>
      <c r="M11" s="29">
        <v>0.7686</v>
      </c>
    </row>
    <row r="12" ht="15.6" customHeight="1" spans="1:13">
      <c r="A12" s="12" t="s">
        <v>388</v>
      </c>
      <c r="B12" s="13" t="s">
        <v>156</v>
      </c>
      <c r="C12" s="13" t="s">
        <v>1394</v>
      </c>
      <c r="D12" s="13" t="s">
        <v>1371</v>
      </c>
      <c r="E12" s="16" t="s">
        <v>1395</v>
      </c>
      <c r="F12" s="16">
        <v>0.0029</v>
      </c>
      <c r="G12" s="16">
        <v>-0.0267</v>
      </c>
      <c r="H12" s="16">
        <v>0.1137</v>
      </c>
      <c r="I12" s="27">
        <v>0.1391</v>
      </c>
      <c r="J12" s="16">
        <v>0.0632</v>
      </c>
      <c r="K12" s="16">
        <v>0.1598</v>
      </c>
      <c r="L12" s="16">
        <v>0.1052</v>
      </c>
      <c r="M12" s="29">
        <v>1.1325</v>
      </c>
    </row>
    <row r="13" ht="15.6" customHeight="1" spans="1:13">
      <c r="A13" s="12" t="s">
        <v>396</v>
      </c>
      <c r="B13" s="13" t="s">
        <v>30</v>
      </c>
      <c r="C13" s="13" t="s">
        <v>1396</v>
      </c>
      <c r="D13" s="13" t="s">
        <v>1371</v>
      </c>
      <c r="E13" s="16" t="s">
        <v>1397</v>
      </c>
      <c r="F13" s="16">
        <v>0.0017</v>
      </c>
      <c r="G13" s="16">
        <v>0.0172</v>
      </c>
      <c r="H13" s="16">
        <v>0.1977</v>
      </c>
      <c r="I13" s="27">
        <v>0.16</v>
      </c>
      <c r="J13" s="16">
        <v>0.0598</v>
      </c>
      <c r="K13" s="16">
        <v>0.1077</v>
      </c>
      <c r="L13" s="16">
        <v>0.1131</v>
      </c>
      <c r="M13" s="29">
        <v>1.2379</v>
      </c>
    </row>
    <row r="14" ht="15.6" customHeight="1" spans="1:13">
      <c r="A14" s="12" t="s">
        <v>319</v>
      </c>
      <c r="B14" s="13" t="s">
        <v>156</v>
      </c>
      <c r="C14" s="13" t="s">
        <v>1398</v>
      </c>
      <c r="D14" s="13" t="s">
        <v>1371</v>
      </c>
      <c r="E14" s="16" t="s">
        <v>1399</v>
      </c>
      <c r="F14" s="16">
        <v>0.0016</v>
      </c>
      <c r="G14" s="16">
        <v>0.0101</v>
      </c>
      <c r="H14" s="16">
        <v>0.0967</v>
      </c>
      <c r="I14" s="27">
        <v>0.1038</v>
      </c>
      <c r="J14" s="16">
        <v>0.0354</v>
      </c>
      <c r="K14" s="16">
        <v>0.1165</v>
      </c>
      <c r="L14" s="16">
        <v>0.089</v>
      </c>
      <c r="M14" s="29">
        <v>0.9418</v>
      </c>
    </row>
    <row r="15" ht="15.6" customHeight="1" spans="1:13">
      <c r="A15" s="12" t="s">
        <v>1400</v>
      </c>
      <c r="B15" s="13" t="s">
        <v>38</v>
      </c>
      <c r="C15" s="13" t="s">
        <v>1401</v>
      </c>
      <c r="D15" s="13" t="s">
        <v>1379</v>
      </c>
      <c r="E15" s="16" t="s">
        <v>1402</v>
      </c>
      <c r="F15" s="16">
        <v>0.0016</v>
      </c>
      <c r="G15" s="16">
        <v>-0.0083</v>
      </c>
      <c r="H15" s="16">
        <v>0.0408</v>
      </c>
      <c r="I15" s="27">
        <v>0.1332</v>
      </c>
      <c r="J15" s="16">
        <v>0.0185</v>
      </c>
      <c r="K15" s="16">
        <v>0.0375</v>
      </c>
      <c r="L15" s="16">
        <v>0.0653</v>
      </c>
      <c r="M15" s="29">
        <v>1.7337</v>
      </c>
    </row>
    <row r="16" ht="15.6" customHeight="1" spans="1:13">
      <c r="A16" s="12" t="s">
        <v>1403</v>
      </c>
      <c r="B16" s="13" t="s">
        <v>156</v>
      </c>
      <c r="C16" s="13" t="s">
        <v>1404</v>
      </c>
      <c r="D16" s="13" t="s">
        <v>1375</v>
      </c>
      <c r="E16" s="16" t="s">
        <v>1405</v>
      </c>
      <c r="F16" s="16">
        <v>0.0015</v>
      </c>
      <c r="G16" s="16">
        <v>0.022</v>
      </c>
      <c r="H16" s="16">
        <v>0.0537</v>
      </c>
      <c r="I16" s="27">
        <v>0.413</v>
      </c>
      <c r="J16" s="16">
        <v>0.0891</v>
      </c>
      <c r="K16" s="16">
        <v>0.0891</v>
      </c>
      <c r="L16" s="16">
        <v>0.192</v>
      </c>
      <c r="M16" s="29">
        <v>2.0469</v>
      </c>
    </row>
    <row r="17" ht="15.6" customHeight="1" spans="1:13">
      <c r="A17" s="12" t="s">
        <v>1406</v>
      </c>
      <c r="B17" s="13" t="s">
        <v>38</v>
      </c>
      <c r="C17" s="13" t="s">
        <v>1407</v>
      </c>
      <c r="D17" s="13" t="s">
        <v>1371</v>
      </c>
      <c r="E17" s="16" t="s">
        <v>1408</v>
      </c>
      <c r="F17" s="16">
        <v>0.0011</v>
      </c>
      <c r="G17" s="16">
        <v>0.0052</v>
      </c>
      <c r="H17" s="16">
        <v>0.0172</v>
      </c>
      <c r="I17" s="27">
        <v>0.0807</v>
      </c>
      <c r="J17" s="16">
        <v>0.0386</v>
      </c>
      <c r="K17" s="16">
        <v>0.0386</v>
      </c>
      <c r="L17" s="16">
        <v>0.0596</v>
      </c>
      <c r="M17" s="29">
        <v>1.0184</v>
      </c>
    </row>
    <row r="18" ht="15.6" customHeight="1" spans="1:13">
      <c r="A18" s="12" t="s">
        <v>291</v>
      </c>
      <c r="B18" s="13" t="s">
        <v>217</v>
      </c>
      <c r="C18" s="13" t="s">
        <v>1409</v>
      </c>
      <c r="D18" s="13" t="s">
        <v>1375</v>
      </c>
      <c r="E18" s="16" t="s">
        <v>1069</v>
      </c>
      <c r="F18" s="16">
        <v>0.001</v>
      </c>
      <c r="G18" s="16">
        <v>0.0076</v>
      </c>
      <c r="H18" s="16">
        <v>0.0252</v>
      </c>
      <c r="I18" s="27">
        <v>0.0556</v>
      </c>
      <c r="J18" s="16">
        <v>0.0319</v>
      </c>
      <c r="K18" s="16">
        <v>0.0319</v>
      </c>
      <c r="L18" s="16">
        <v>0.0541</v>
      </c>
      <c r="M18" s="29">
        <v>0.6582</v>
      </c>
    </row>
    <row r="19" ht="15.6" customHeight="1" spans="1:13">
      <c r="A19" s="12" t="s">
        <v>1410</v>
      </c>
      <c r="B19" s="13" t="s">
        <v>156</v>
      </c>
      <c r="C19" s="13" t="s">
        <v>1411</v>
      </c>
      <c r="D19" s="13" t="s">
        <v>1371</v>
      </c>
      <c r="E19" s="16" t="s">
        <v>1412</v>
      </c>
      <c r="F19" s="16">
        <v>0.0007</v>
      </c>
      <c r="G19" s="16">
        <v>-0.0053</v>
      </c>
      <c r="H19" s="16">
        <v>-0.0075</v>
      </c>
      <c r="I19" s="27">
        <v>0.1258</v>
      </c>
      <c r="J19" s="16">
        <v>0.0668</v>
      </c>
      <c r="K19" s="16">
        <v>0.0668</v>
      </c>
      <c r="L19" s="16">
        <v>0.0704</v>
      </c>
      <c r="M19" s="29">
        <v>1.5014</v>
      </c>
    </row>
    <row r="20" ht="15.6" customHeight="1" spans="1:13">
      <c r="A20" s="12" t="s">
        <v>1413</v>
      </c>
      <c r="B20" s="13" t="s">
        <v>30</v>
      </c>
      <c r="C20" s="13" t="s">
        <v>1414</v>
      </c>
      <c r="D20" s="13" t="s">
        <v>1375</v>
      </c>
      <c r="E20" s="16" t="s">
        <v>1415</v>
      </c>
      <c r="F20" s="16">
        <v>0.0007</v>
      </c>
      <c r="G20" s="16">
        <v>-0.0148</v>
      </c>
      <c r="H20" s="16">
        <v>0.0764</v>
      </c>
      <c r="I20" s="27">
        <v>0.0306</v>
      </c>
      <c r="J20" s="16">
        <v>0.0768</v>
      </c>
      <c r="K20" s="16">
        <v>0.3063</v>
      </c>
      <c r="L20" s="16">
        <v>0.1433</v>
      </c>
      <c r="M20" s="29">
        <v>0.0741</v>
      </c>
    </row>
    <row r="21" ht="15.6" customHeight="1" spans="1:13">
      <c r="A21" s="12" t="s">
        <v>1416</v>
      </c>
      <c r="B21" s="13" t="s">
        <v>156</v>
      </c>
      <c r="C21" s="13" t="s">
        <v>1417</v>
      </c>
      <c r="D21" s="13" t="s">
        <v>1375</v>
      </c>
      <c r="E21" s="16" t="s">
        <v>1418</v>
      </c>
      <c r="F21" s="16">
        <v>0.0003</v>
      </c>
      <c r="G21" s="16">
        <v>-0.0237</v>
      </c>
      <c r="H21" s="16">
        <v>0.0432</v>
      </c>
      <c r="I21" s="27">
        <v>0.2232</v>
      </c>
      <c r="J21" s="16">
        <v>0.0826</v>
      </c>
      <c r="K21" s="16">
        <v>0.3325</v>
      </c>
      <c r="L21" s="16">
        <v>0.1591</v>
      </c>
      <c r="M21" s="29">
        <v>1.2771</v>
      </c>
    </row>
    <row r="22" ht="15.6" customHeight="1" spans="1:13">
      <c r="A22" s="12" t="s">
        <v>261</v>
      </c>
      <c r="B22" s="13" t="s">
        <v>38</v>
      </c>
      <c r="C22" s="13" t="s">
        <v>1419</v>
      </c>
      <c r="D22" s="13" t="s">
        <v>1375</v>
      </c>
      <c r="E22" s="16" t="s">
        <v>1420</v>
      </c>
      <c r="F22" s="16">
        <v>-0.0007</v>
      </c>
      <c r="G22" s="16">
        <v>-0.002</v>
      </c>
      <c r="H22" s="16">
        <v>-0.0007</v>
      </c>
      <c r="I22" s="27">
        <v>-0.0007</v>
      </c>
      <c r="J22" s="16">
        <v>0.0517</v>
      </c>
      <c r="K22" s="16">
        <v>0.0517</v>
      </c>
      <c r="L22" s="16">
        <v>0.057</v>
      </c>
      <c r="M22" s="29">
        <v>-0.3627</v>
      </c>
    </row>
    <row r="23" ht="15.6" customHeight="1" spans="1:13">
      <c r="A23" s="12" t="s">
        <v>483</v>
      </c>
      <c r="B23" s="13" t="s">
        <v>217</v>
      </c>
      <c r="C23" s="13" t="s">
        <v>1421</v>
      </c>
      <c r="D23" s="13" t="s">
        <v>1371</v>
      </c>
      <c r="E23" s="16" t="s">
        <v>1422</v>
      </c>
      <c r="F23" s="16">
        <v>-0.0015</v>
      </c>
      <c r="G23" s="16">
        <v>-0.0006</v>
      </c>
      <c r="H23" s="16">
        <v>0.0007</v>
      </c>
      <c r="I23" s="27">
        <v>0.1134</v>
      </c>
      <c r="J23" s="16">
        <v>0.0495</v>
      </c>
      <c r="K23" s="16">
        <v>0.1756</v>
      </c>
      <c r="L23" s="16">
        <v>0.0843</v>
      </c>
      <c r="M23" s="29">
        <v>1.1087</v>
      </c>
    </row>
    <row r="24" ht="15.6" customHeight="1" spans="1:13">
      <c r="A24" s="12" t="s">
        <v>1423</v>
      </c>
      <c r="B24" s="13" t="s">
        <v>30</v>
      </c>
      <c r="C24" s="13" t="s">
        <v>1424</v>
      </c>
      <c r="D24" s="13" t="s">
        <v>1371</v>
      </c>
      <c r="E24" s="16" t="s">
        <v>1425</v>
      </c>
      <c r="F24" s="16">
        <v>-0.0019</v>
      </c>
      <c r="G24" s="16">
        <v>-0.0041</v>
      </c>
      <c r="H24" s="16">
        <v>-0.0178</v>
      </c>
      <c r="I24" s="27">
        <v>0.0969</v>
      </c>
      <c r="J24" s="16">
        <v>0.0488</v>
      </c>
      <c r="K24" s="16">
        <v>0.0908</v>
      </c>
      <c r="L24" s="16">
        <v>0.0904</v>
      </c>
      <c r="M24" s="29">
        <v>0.8504</v>
      </c>
    </row>
    <row r="25" ht="15.6" customHeight="1" spans="1:13">
      <c r="A25" s="12" t="s">
        <v>1426</v>
      </c>
      <c r="B25" s="13" t="s">
        <v>38</v>
      </c>
      <c r="C25" s="13" t="s">
        <v>1427</v>
      </c>
      <c r="D25" s="13" t="s">
        <v>1375</v>
      </c>
      <c r="E25" s="16" t="s">
        <v>1428</v>
      </c>
      <c r="F25" s="16">
        <v>-0.0042</v>
      </c>
      <c r="G25" s="16">
        <v>-0.0004</v>
      </c>
      <c r="H25" s="16">
        <v>0.0572</v>
      </c>
      <c r="I25" s="27">
        <v>0.097</v>
      </c>
      <c r="J25" s="16">
        <v>0.1118</v>
      </c>
      <c r="K25" s="16">
        <v>0.1837</v>
      </c>
      <c r="L25" s="16">
        <v>0.1301</v>
      </c>
      <c r="M25" s="29">
        <v>0.5917</v>
      </c>
    </row>
    <row r="26" ht="15.6" customHeight="1" spans="1:13">
      <c r="A26" s="12" t="s">
        <v>426</v>
      </c>
      <c r="B26" s="13" t="s">
        <v>156</v>
      </c>
      <c r="C26" s="13" t="s">
        <v>1429</v>
      </c>
      <c r="D26" s="13" t="s">
        <v>1371</v>
      </c>
      <c r="E26" s="16" t="s">
        <v>1430</v>
      </c>
      <c r="F26" s="16">
        <v>-0.0048</v>
      </c>
      <c r="G26" s="16">
        <v>0.0081</v>
      </c>
      <c r="H26" s="16">
        <v>0.0569</v>
      </c>
      <c r="I26" s="27">
        <v>0.0899</v>
      </c>
      <c r="J26" s="16">
        <v>0.0198</v>
      </c>
      <c r="K26" s="16">
        <v>0.0459</v>
      </c>
      <c r="L26" s="16">
        <v>0.0684</v>
      </c>
      <c r="M26" s="29">
        <v>1.0211</v>
      </c>
    </row>
    <row r="27" ht="15.6" customHeight="1" spans="1:13">
      <c r="A27" s="12" t="s">
        <v>1431</v>
      </c>
      <c r="B27" s="13" t="s">
        <v>30</v>
      </c>
      <c r="C27" s="13" t="s">
        <v>1432</v>
      </c>
      <c r="D27" s="13" t="s">
        <v>1371</v>
      </c>
      <c r="E27" s="16" t="s">
        <v>1433</v>
      </c>
      <c r="F27" s="16">
        <v>-0.0058</v>
      </c>
      <c r="G27" s="16">
        <v>0.0239</v>
      </c>
      <c r="H27" s="16">
        <v>0.1726</v>
      </c>
      <c r="I27" s="27">
        <v>0.3006</v>
      </c>
      <c r="J27" s="16">
        <v>0.0135</v>
      </c>
      <c r="K27" s="16">
        <v>0.0691</v>
      </c>
      <c r="L27" s="16">
        <v>0.112</v>
      </c>
      <c r="M27" s="29">
        <v>2.5065</v>
      </c>
    </row>
    <row r="28" ht="15.6" customHeight="1" spans="1:13">
      <c r="A28" s="12" t="s">
        <v>1434</v>
      </c>
      <c r="B28" s="13" t="s">
        <v>54</v>
      </c>
      <c r="C28" s="13" t="s">
        <v>1435</v>
      </c>
      <c r="D28" s="13" t="s">
        <v>1375</v>
      </c>
      <c r="E28" s="16" t="s">
        <v>1436</v>
      </c>
      <c r="F28" s="16">
        <v>-0.0066</v>
      </c>
      <c r="G28" s="16">
        <v>0.0059</v>
      </c>
      <c r="H28" s="16">
        <v>-0.0092</v>
      </c>
      <c r="I28" s="27">
        <v>0.163</v>
      </c>
      <c r="J28" s="16">
        <v>0.0549</v>
      </c>
      <c r="K28" s="16">
        <v>0.1152</v>
      </c>
      <c r="L28" s="16">
        <v>0.1442</v>
      </c>
      <c r="M28" s="29">
        <v>0.9915</v>
      </c>
    </row>
    <row r="29" ht="15.6" customHeight="1" spans="1:13">
      <c r="A29" s="12" t="s">
        <v>446</v>
      </c>
      <c r="B29" s="13" t="s">
        <v>217</v>
      </c>
      <c r="C29" s="13" t="s">
        <v>1437</v>
      </c>
      <c r="D29" s="13" t="s">
        <v>1375</v>
      </c>
      <c r="E29" s="16" t="s">
        <v>1438</v>
      </c>
      <c r="F29" s="16">
        <v>-0.0069</v>
      </c>
      <c r="G29" s="16">
        <v>-0.0079</v>
      </c>
      <c r="H29" s="16">
        <v>-0.0427</v>
      </c>
      <c r="I29" s="27">
        <v>0.0047</v>
      </c>
      <c r="J29" s="16">
        <v>0.0713</v>
      </c>
      <c r="K29" s="16">
        <v>0.0713</v>
      </c>
      <c r="L29" s="16">
        <v>0.058</v>
      </c>
      <c r="M29" s="29">
        <v>-0.2634</v>
      </c>
    </row>
    <row r="30" ht="15.6" customHeight="1" spans="1:13">
      <c r="A30" s="12" t="s">
        <v>1439</v>
      </c>
      <c r="B30" s="13" t="s">
        <v>38</v>
      </c>
      <c r="C30" s="13" t="s">
        <v>1440</v>
      </c>
      <c r="D30" s="13" t="s">
        <v>1371</v>
      </c>
      <c r="E30" s="16" t="s">
        <v>630</v>
      </c>
      <c r="F30" s="16">
        <v>-0.007</v>
      </c>
      <c r="G30" s="16">
        <v>0.0062</v>
      </c>
      <c r="H30" s="16">
        <v>0.2603</v>
      </c>
      <c r="I30" s="27">
        <v>0.231</v>
      </c>
      <c r="J30" s="16">
        <v>0.0589</v>
      </c>
      <c r="K30" s="16">
        <v>0.23</v>
      </c>
      <c r="L30" s="16">
        <v>0.2714</v>
      </c>
      <c r="M30" s="29">
        <v>0.7774</v>
      </c>
    </row>
    <row r="31" ht="15.6" customHeight="1" spans="1:13">
      <c r="A31" s="12" t="s">
        <v>1441</v>
      </c>
      <c r="B31" s="13" t="s">
        <v>217</v>
      </c>
      <c r="C31" s="13" t="s">
        <v>1442</v>
      </c>
      <c r="D31" s="13" t="s">
        <v>1371</v>
      </c>
      <c r="E31" s="16" t="s">
        <v>1443</v>
      </c>
      <c r="F31" s="16">
        <v>-0.0073</v>
      </c>
      <c r="G31" s="16">
        <v>0.0444</v>
      </c>
      <c r="H31" s="16">
        <v>0.1189</v>
      </c>
      <c r="I31" s="27">
        <v>0.2728</v>
      </c>
      <c r="J31" s="16">
        <v>0.0927</v>
      </c>
      <c r="K31" s="16">
        <v>0.0927</v>
      </c>
      <c r="L31" s="16">
        <v>0.1405</v>
      </c>
      <c r="M31" s="29">
        <v>1.799</v>
      </c>
    </row>
    <row r="32" ht="15.6" customHeight="1" spans="1:13">
      <c r="A32" s="12" t="s">
        <v>1441</v>
      </c>
      <c r="B32" s="13" t="s">
        <v>217</v>
      </c>
      <c r="C32" s="13" t="s">
        <v>1444</v>
      </c>
      <c r="D32" s="13" t="s">
        <v>1371</v>
      </c>
      <c r="E32" s="16" t="s">
        <v>1445</v>
      </c>
      <c r="F32" s="16">
        <v>-0.0084</v>
      </c>
      <c r="G32" s="16">
        <v>0.0475</v>
      </c>
      <c r="H32" s="16">
        <v>0.0958</v>
      </c>
      <c r="I32" s="27">
        <v>0.2655</v>
      </c>
      <c r="J32" s="16">
        <v>0.1045</v>
      </c>
      <c r="K32" s="16">
        <v>0.1045</v>
      </c>
      <c r="L32" s="16">
        <v>0.1399</v>
      </c>
      <c r="M32" s="29">
        <v>1.7557</v>
      </c>
    </row>
    <row r="33" ht="15.6" customHeight="1" spans="1:13">
      <c r="A33" s="12" t="s">
        <v>1446</v>
      </c>
      <c r="B33" s="13" t="s">
        <v>54</v>
      </c>
      <c r="C33" s="13" t="s">
        <v>1447</v>
      </c>
      <c r="D33" s="13" t="s">
        <v>1375</v>
      </c>
      <c r="E33" s="16" t="s">
        <v>1448</v>
      </c>
      <c r="F33" s="16">
        <v>-0.009</v>
      </c>
      <c r="G33" s="16">
        <v>-0.002</v>
      </c>
      <c r="H33" s="16">
        <v>0.0496</v>
      </c>
      <c r="I33" s="27">
        <v>0.0619</v>
      </c>
      <c r="J33" s="16">
        <v>0.0214</v>
      </c>
      <c r="K33" s="16">
        <v>0.0642</v>
      </c>
      <c r="L33" s="16">
        <v>0.0743</v>
      </c>
      <c r="M33" s="29">
        <v>0.5639</v>
      </c>
    </row>
    <row r="34" ht="15.6" customHeight="1" spans="1:13">
      <c r="A34" s="12" t="s">
        <v>1449</v>
      </c>
      <c r="B34" s="13" t="s">
        <v>156</v>
      </c>
      <c r="C34" s="13" t="s">
        <v>1450</v>
      </c>
      <c r="D34" s="13" t="s">
        <v>1375</v>
      </c>
      <c r="E34" s="16" t="s">
        <v>1451</v>
      </c>
      <c r="F34" s="16">
        <v>-0.0112</v>
      </c>
      <c r="G34" s="16">
        <v>0.0414</v>
      </c>
      <c r="H34" s="16">
        <v>0.1271</v>
      </c>
      <c r="I34" s="27">
        <v>0.3726</v>
      </c>
      <c r="J34" s="16">
        <v>0.0405</v>
      </c>
      <c r="K34" s="16">
        <v>0.1053</v>
      </c>
      <c r="L34" s="16">
        <v>0.1792</v>
      </c>
      <c r="M34" s="29">
        <v>1.9676</v>
      </c>
    </row>
    <row r="35" ht="15.6" customHeight="1" spans="1:13">
      <c r="A35" s="12" t="s">
        <v>1452</v>
      </c>
      <c r="B35" s="13" t="s">
        <v>30</v>
      </c>
      <c r="C35" s="13" t="s">
        <v>1453</v>
      </c>
      <c r="D35" s="13" t="s">
        <v>1375</v>
      </c>
      <c r="E35" s="16" t="s">
        <v>1454</v>
      </c>
      <c r="F35" s="16">
        <v>-0.0112</v>
      </c>
      <c r="G35" s="16">
        <v>0.0556</v>
      </c>
      <c r="H35" s="16">
        <v>0.0651</v>
      </c>
      <c r="I35" s="27">
        <v>0.118</v>
      </c>
      <c r="J35" s="16">
        <v>0.0536</v>
      </c>
      <c r="K35" s="16">
        <v>0.1363</v>
      </c>
      <c r="L35" s="16">
        <v>0.1787</v>
      </c>
      <c r="M35" s="29">
        <v>0.5485</v>
      </c>
    </row>
    <row r="36" ht="15.6" customHeight="1" spans="1:13">
      <c r="A36" s="12" t="s">
        <v>1455</v>
      </c>
      <c r="B36" s="13" t="s">
        <v>30</v>
      </c>
      <c r="C36" s="13" t="s">
        <v>1456</v>
      </c>
      <c r="D36" s="13" t="s">
        <v>1375</v>
      </c>
      <c r="E36" s="16" t="s">
        <v>140</v>
      </c>
      <c r="F36" s="16">
        <v>-0.0157</v>
      </c>
      <c r="G36" s="16">
        <v>-0.0232</v>
      </c>
      <c r="H36" s="16"/>
      <c r="I36" s="27">
        <v>-0.2189</v>
      </c>
      <c r="J36" s="16"/>
      <c r="K36" s="16">
        <v>0.0643</v>
      </c>
      <c r="L36" s="16">
        <v>0.0647</v>
      </c>
      <c r="M36" s="29">
        <v>-3.692</v>
      </c>
    </row>
    <row r="37" ht="15.6" customHeight="1" spans="1:13">
      <c r="A37" s="12" t="s">
        <v>1457</v>
      </c>
      <c r="B37" s="13" t="s">
        <v>38</v>
      </c>
      <c r="C37" s="13" t="s">
        <v>1458</v>
      </c>
      <c r="D37" s="13" t="s">
        <v>1375</v>
      </c>
      <c r="E37" s="16" t="s">
        <v>33</v>
      </c>
      <c r="F37" s="16">
        <v>-0.016</v>
      </c>
      <c r="G37" s="16">
        <v>-0.0176</v>
      </c>
      <c r="H37" s="16">
        <v>-0.0028</v>
      </c>
      <c r="I37" s="27">
        <v>0.1372</v>
      </c>
      <c r="J37" s="16">
        <v>0.0294</v>
      </c>
      <c r="K37" s="16">
        <v>0.1457</v>
      </c>
      <c r="L37" s="16">
        <v>0.1186</v>
      </c>
      <c r="M37" s="29">
        <v>0.988</v>
      </c>
    </row>
    <row r="38" ht="15.6" customHeight="1" spans="1:13">
      <c r="A38" s="12" t="s">
        <v>1367</v>
      </c>
      <c r="B38" s="13" t="s">
        <v>30</v>
      </c>
      <c r="C38" s="13" t="s">
        <v>1459</v>
      </c>
      <c r="D38" s="13" t="s">
        <v>1375</v>
      </c>
      <c r="E38" s="16" t="s">
        <v>1460</v>
      </c>
      <c r="F38" s="16">
        <v>-0.018</v>
      </c>
      <c r="G38" s="16">
        <v>-0.0095</v>
      </c>
      <c r="H38" s="16">
        <v>0.0224</v>
      </c>
      <c r="I38" s="27">
        <v>0.1283</v>
      </c>
      <c r="J38" s="16">
        <v>0.0248</v>
      </c>
      <c r="K38" s="16">
        <v>0.0411</v>
      </c>
      <c r="L38" s="16">
        <v>0.1203</v>
      </c>
      <c r="M38" s="29">
        <v>0.9007</v>
      </c>
    </row>
    <row r="39" ht="15.6" customHeight="1" spans="1:13">
      <c r="A39" s="12" t="s">
        <v>1461</v>
      </c>
      <c r="B39" s="13" t="s">
        <v>54</v>
      </c>
      <c r="C39" s="13" t="s">
        <v>1462</v>
      </c>
      <c r="D39" s="13" t="s">
        <v>1375</v>
      </c>
      <c r="E39" s="16" t="s">
        <v>1463</v>
      </c>
      <c r="F39" s="16">
        <v>-0.0197</v>
      </c>
      <c r="G39" s="16">
        <v>0.0583</v>
      </c>
      <c r="H39" s="16">
        <v>0.0733</v>
      </c>
      <c r="I39" s="27">
        <v>0.1504</v>
      </c>
      <c r="J39" s="16">
        <v>0.114</v>
      </c>
      <c r="K39" s="16">
        <v>0.3942</v>
      </c>
      <c r="L39" s="16">
        <v>0.2224</v>
      </c>
      <c r="M39" s="29">
        <v>0.5864</v>
      </c>
    </row>
    <row r="40" ht="15.6" customHeight="1" spans="1:13">
      <c r="A40" s="12" t="s">
        <v>894</v>
      </c>
      <c r="B40" s="13" t="s">
        <v>61</v>
      </c>
      <c r="C40" s="13" t="s">
        <v>1464</v>
      </c>
      <c r="D40" s="13" t="s">
        <v>1375</v>
      </c>
      <c r="E40" s="16" t="s">
        <v>1465</v>
      </c>
      <c r="F40" s="16">
        <v>-0.0198</v>
      </c>
      <c r="G40" s="16">
        <v>0.0271</v>
      </c>
      <c r="H40" s="16"/>
      <c r="I40" s="27">
        <v>0.1521</v>
      </c>
      <c r="J40" s="16"/>
      <c r="K40" s="16">
        <v>0.0295</v>
      </c>
      <c r="L40" s="16">
        <v>0.0972</v>
      </c>
      <c r="M40" s="29">
        <v>1.3582</v>
      </c>
    </row>
    <row r="41" ht="15.6" customHeight="1" spans="1:13">
      <c r="A41" s="12" t="s">
        <v>1466</v>
      </c>
      <c r="B41" s="13" t="s">
        <v>61</v>
      </c>
      <c r="C41" s="13" t="s">
        <v>1467</v>
      </c>
      <c r="D41" s="13" t="s">
        <v>1379</v>
      </c>
      <c r="E41" s="16" t="s">
        <v>1468</v>
      </c>
      <c r="F41" s="16">
        <v>-0.0227</v>
      </c>
      <c r="G41" s="16">
        <v>-0.0003</v>
      </c>
      <c r="H41" s="16">
        <v>0.133</v>
      </c>
      <c r="I41" s="27">
        <v>0.1604</v>
      </c>
      <c r="J41" s="16">
        <v>0.0905</v>
      </c>
      <c r="K41" s="16">
        <v>0.1256</v>
      </c>
      <c r="L41" s="16">
        <v>0.1404</v>
      </c>
      <c r="M41" s="29">
        <v>0.9998</v>
      </c>
    </row>
    <row r="42" ht="15.6" customHeight="1" spans="1:13">
      <c r="A42" s="12" t="s">
        <v>1469</v>
      </c>
      <c r="B42" s="13" t="s">
        <v>61</v>
      </c>
      <c r="C42" s="13" t="s">
        <v>1470</v>
      </c>
      <c r="D42" s="13" t="s">
        <v>1371</v>
      </c>
      <c r="E42" s="16" t="s">
        <v>1471</v>
      </c>
      <c r="F42" s="16">
        <v>-0.023</v>
      </c>
      <c r="G42" s="16">
        <v>-0.0345</v>
      </c>
      <c r="H42" s="16">
        <v>0.1799</v>
      </c>
      <c r="I42" s="27">
        <v>0.3534</v>
      </c>
      <c r="J42" s="16">
        <v>0.0658</v>
      </c>
      <c r="K42" s="16">
        <v>0.1295</v>
      </c>
      <c r="L42" s="16">
        <v>0.1837</v>
      </c>
      <c r="M42" s="29">
        <v>1.8154</v>
      </c>
    </row>
    <row r="43" ht="15.6" customHeight="1" spans="1:13">
      <c r="A43" s="12" t="s">
        <v>1080</v>
      </c>
      <c r="B43" s="13" t="s">
        <v>30</v>
      </c>
      <c r="C43" s="13" t="s">
        <v>1472</v>
      </c>
      <c r="D43" s="13" t="s">
        <v>1375</v>
      </c>
      <c r="E43" s="16" t="s">
        <v>1473</v>
      </c>
      <c r="F43" s="16">
        <v>-0.0244</v>
      </c>
      <c r="G43" s="16">
        <v>0.0606</v>
      </c>
      <c r="H43" s="16">
        <v>0.055</v>
      </c>
      <c r="I43" s="27">
        <v>0.0561</v>
      </c>
      <c r="J43" s="16">
        <v>0.1048</v>
      </c>
      <c r="K43" s="16">
        <v>0.1477</v>
      </c>
      <c r="L43" s="16">
        <v>0.1058</v>
      </c>
      <c r="M43" s="29">
        <v>0.3415</v>
      </c>
    </row>
    <row r="44" ht="15.6" customHeight="1" spans="1:13">
      <c r="A44" s="12" t="s">
        <v>1474</v>
      </c>
      <c r="B44" s="13" t="s">
        <v>61</v>
      </c>
      <c r="C44" s="13" t="s">
        <v>1475</v>
      </c>
      <c r="D44" s="13" t="s">
        <v>1375</v>
      </c>
      <c r="E44" s="16" t="s">
        <v>1476</v>
      </c>
      <c r="F44" s="16">
        <v>-0.0254</v>
      </c>
      <c r="G44" s="16">
        <v>0.0711</v>
      </c>
      <c r="H44" s="16">
        <v>0.0212</v>
      </c>
      <c r="I44" s="27">
        <v>0.0597</v>
      </c>
      <c r="J44" s="16">
        <v>0.1056</v>
      </c>
      <c r="K44" s="16">
        <v>0.1056</v>
      </c>
      <c r="L44" s="16">
        <v>0.1403</v>
      </c>
      <c r="M44" s="29">
        <v>0.283</v>
      </c>
    </row>
    <row r="45" ht="15.6" customHeight="1" spans="1:13">
      <c r="A45" s="12" t="s">
        <v>773</v>
      </c>
      <c r="B45" s="13" t="s">
        <v>217</v>
      </c>
      <c r="C45" s="13" t="s">
        <v>1477</v>
      </c>
      <c r="D45" s="13" t="s">
        <v>1375</v>
      </c>
      <c r="E45" s="16" t="s">
        <v>1478</v>
      </c>
      <c r="F45" s="16">
        <v>-0.0353</v>
      </c>
      <c r="G45" s="16">
        <v>0.0741</v>
      </c>
      <c r="H45" s="16">
        <v>0.2289</v>
      </c>
      <c r="I45" s="27">
        <v>0.4049</v>
      </c>
      <c r="J45" s="16">
        <v>0.148</v>
      </c>
      <c r="K45" s="16">
        <v>0.148</v>
      </c>
      <c r="L45" s="16">
        <v>0.2067</v>
      </c>
      <c r="M45" s="29">
        <v>1.8618</v>
      </c>
    </row>
    <row r="46" ht="15.6" customHeight="1" spans="1:13">
      <c r="A46" s="12" t="s">
        <v>325</v>
      </c>
      <c r="B46" s="13" t="s">
        <v>54</v>
      </c>
      <c r="C46" s="13" t="s">
        <v>1479</v>
      </c>
      <c r="D46" s="13" t="s">
        <v>1371</v>
      </c>
      <c r="E46" s="16" t="s">
        <v>1480</v>
      </c>
      <c r="F46" s="16">
        <v>-0.0358</v>
      </c>
      <c r="G46" s="16">
        <v>0.015</v>
      </c>
      <c r="H46" s="16">
        <v>0.0044</v>
      </c>
      <c r="I46" s="27">
        <v>0.0174</v>
      </c>
      <c r="J46" s="16">
        <v>0.0358</v>
      </c>
      <c r="K46" s="16">
        <v>0.0358</v>
      </c>
      <c r="L46" s="16">
        <v>0.1408</v>
      </c>
      <c r="M46" s="29">
        <v>-0.0186</v>
      </c>
    </row>
    <row r="47" ht="15.6" customHeight="1" spans="1:13">
      <c r="A47" s="12" t="s">
        <v>1481</v>
      </c>
      <c r="B47" s="13" t="s">
        <v>30</v>
      </c>
      <c r="C47" s="13" t="s">
        <v>1482</v>
      </c>
      <c r="D47" s="13" t="s">
        <v>1375</v>
      </c>
      <c r="E47" s="16" t="s">
        <v>1483</v>
      </c>
      <c r="F47" s="16">
        <v>-0.0422</v>
      </c>
      <c r="G47" s="16">
        <v>-0.0623</v>
      </c>
      <c r="H47" s="16">
        <v>-0.0155</v>
      </c>
      <c r="I47" s="27">
        <v>0.1168</v>
      </c>
      <c r="J47" s="16">
        <v>0.1111</v>
      </c>
      <c r="K47" s="16">
        <v>0.1111</v>
      </c>
      <c r="L47" s="16">
        <v>0.1396</v>
      </c>
      <c r="M47" s="29">
        <v>0.6931</v>
      </c>
    </row>
    <row r="48" ht="15.6" customHeight="1" spans="1:13">
      <c r="A48" s="12" t="s">
        <v>168</v>
      </c>
      <c r="B48" s="13" t="s">
        <v>30</v>
      </c>
      <c r="C48" s="13" t="s">
        <v>1484</v>
      </c>
      <c r="D48" s="13" t="s">
        <v>1375</v>
      </c>
      <c r="E48" s="16" t="s">
        <v>1485</v>
      </c>
      <c r="F48" s="16">
        <v>-0.0613</v>
      </c>
      <c r="G48" s="16">
        <v>-0.0344</v>
      </c>
      <c r="H48" s="16">
        <v>0.1103</v>
      </c>
      <c r="I48" s="27">
        <v>0.5821</v>
      </c>
      <c r="J48" s="16">
        <v>0.1546</v>
      </c>
      <c r="K48" s="16">
        <v>0.1648</v>
      </c>
      <c r="L48" s="16">
        <v>0.3048</v>
      </c>
      <c r="M48" s="29">
        <v>1.8442</v>
      </c>
    </row>
    <row r="49" ht="15.6" customHeight="1" spans="1:13">
      <c r="A49" s="12"/>
      <c r="B49" s="13"/>
      <c r="C49" s="13"/>
      <c r="D49" s="13"/>
      <c r="E49" s="16"/>
      <c r="F49" s="16"/>
      <c r="G49" s="16"/>
      <c r="H49" s="16"/>
      <c r="I49" s="29"/>
      <c r="J49" s="16"/>
      <c r="K49" s="16"/>
      <c r="L49" s="16"/>
      <c r="M49" s="29"/>
    </row>
    <row r="50" ht="15.6" customHeight="1" spans="1:13">
      <c r="A50" s="12"/>
      <c r="B50" s="13"/>
      <c r="C50" s="13"/>
      <c r="D50" s="13"/>
      <c r="E50" s="16"/>
      <c r="F50" s="16"/>
      <c r="G50" s="16"/>
      <c r="H50" s="16"/>
      <c r="I50" s="29"/>
      <c r="J50" s="16"/>
      <c r="K50" s="16"/>
      <c r="L50" s="16"/>
      <c r="M50" s="29"/>
    </row>
    <row r="51" ht="15.6" customHeight="1" spans="1:13">
      <c r="A51" s="12"/>
      <c r="B51" s="13"/>
      <c r="C51" s="13"/>
      <c r="D51" s="13"/>
      <c r="E51" s="16"/>
      <c r="F51" s="16"/>
      <c r="G51" s="16"/>
      <c r="H51" s="16"/>
      <c r="I51" s="29"/>
      <c r="J51" s="16"/>
      <c r="K51" s="16"/>
      <c r="L51" s="16"/>
      <c r="M51" s="29"/>
    </row>
    <row r="52" ht="15.6" customHeight="1" spans="1:13">
      <c r="A52" s="12"/>
      <c r="B52" s="13"/>
      <c r="C52" s="13"/>
      <c r="D52" s="13"/>
      <c r="E52" s="16"/>
      <c r="F52" s="16"/>
      <c r="G52" s="16"/>
      <c r="H52" s="16"/>
      <c r="I52" s="29"/>
      <c r="J52" s="16"/>
      <c r="K52" s="16"/>
      <c r="L52" s="16"/>
      <c r="M52" s="29"/>
    </row>
    <row r="53" ht="15.6" customHeight="1" spans="1:13">
      <c r="A53" s="12"/>
      <c r="B53" s="13"/>
      <c r="C53" s="13"/>
      <c r="D53" s="13"/>
      <c r="E53" s="16"/>
      <c r="F53" s="16"/>
      <c r="G53" s="16"/>
      <c r="H53" s="16"/>
      <c r="I53" s="29"/>
      <c r="J53" s="16"/>
      <c r="K53" s="16"/>
      <c r="L53" s="16"/>
      <c r="M53" s="29"/>
    </row>
    <row r="54" ht="15.6" customHeight="1" spans="1:13">
      <c r="A54" s="12"/>
      <c r="B54" s="13"/>
      <c r="C54" s="13"/>
      <c r="D54" s="13"/>
      <c r="E54" s="16"/>
      <c r="F54" s="16"/>
      <c r="G54" s="16"/>
      <c r="H54" s="16"/>
      <c r="I54" s="29"/>
      <c r="J54" s="16"/>
      <c r="K54" s="16"/>
      <c r="L54" s="16"/>
      <c r="M54" s="29"/>
    </row>
    <row r="55" ht="15.6" customHeight="1" spans="1:13">
      <c r="A55" s="12"/>
      <c r="B55" s="13"/>
      <c r="C55" s="13"/>
      <c r="D55" s="13"/>
      <c r="E55" s="16"/>
      <c r="F55" s="16"/>
      <c r="G55" s="16"/>
      <c r="H55" s="16"/>
      <c r="I55" s="29"/>
      <c r="J55" s="16"/>
      <c r="K55" s="16"/>
      <c r="L55" s="16"/>
      <c r="M55" s="29"/>
    </row>
    <row r="56" ht="15.6" customHeight="1" spans="1:13">
      <c r="A56" s="12"/>
      <c r="B56" s="13"/>
      <c r="C56" s="13"/>
      <c r="D56" s="13"/>
      <c r="E56" s="16"/>
      <c r="F56" s="16"/>
      <c r="G56" s="16"/>
      <c r="H56" s="16"/>
      <c r="I56" s="29"/>
      <c r="J56" s="16"/>
      <c r="K56" s="16"/>
      <c r="L56" s="16"/>
      <c r="M56" s="29"/>
    </row>
    <row r="57" ht="15.6" customHeight="1" spans="1:13">
      <c r="A57" s="12"/>
      <c r="B57" s="13"/>
      <c r="C57" s="13"/>
      <c r="D57" s="13"/>
      <c r="E57" s="16"/>
      <c r="F57" s="16"/>
      <c r="G57" s="16"/>
      <c r="H57" s="16"/>
      <c r="I57" s="29"/>
      <c r="J57" s="16"/>
      <c r="K57" s="16"/>
      <c r="L57" s="16"/>
      <c r="M57" s="29"/>
    </row>
    <row r="58" ht="15.6" customHeight="1" spans="1:13">
      <c r="A58" s="12"/>
      <c r="B58" s="13"/>
      <c r="C58" s="13"/>
      <c r="D58" s="13"/>
      <c r="E58" s="16"/>
      <c r="F58" s="16"/>
      <c r="G58" s="16"/>
      <c r="H58" s="16"/>
      <c r="I58" s="29"/>
      <c r="J58" s="16"/>
      <c r="K58" s="16"/>
      <c r="L58" s="16"/>
      <c r="M58" s="29"/>
    </row>
    <row r="59" ht="15.6" customHeight="1" spans="1:13">
      <c r="A59" s="12"/>
      <c r="B59" s="13"/>
      <c r="C59" s="13"/>
      <c r="D59" s="13"/>
      <c r="E59" s="16"/>
      <c r="F59" s="16"/>
      <c r="G59" s="16"/>
      <c r="H59" s="16"/>
      <c r="I59" s="29"/>
      <c r="J59" s="16"/>
      <c r="K59" s="16"/>
      <c r="L59" s="16"/>
      <c r="M59" s="29"/>
    </row>
    <row r="60" ht="15.6" customHeight="1" spans="1:13">
      <c r="A60" s="12"/>
      <c r="B60" s="13"/>
      <c r="C60" s="13"/>
      <c r="D60" s="13"/>
      <c r="E60" s="16"/>
      <c r="F60" s="16"/>
      <c r="G60" s="16"/>
      <c r="H60" s="16"/>
      <c r="I60" s="29"/>
      <c r="J60" s="16"/>
      <c r="K60" s="16"/>
      <c r="L60" s="16"/>
      <c r="M60" s="29"/>
    </row>
    <row r="61" ht="15.6" customHeight="1" spans="1:13">
      <c r="A61" s="12"/>
      <c r="B61" s="13"/>
      <c r="C61" s="13"/>
      <c r="D61" s="13"/>
      <c r="E61" s="16"/>
      <c r="F61" s="16"/>
      <c r="G61" s="16"/>
      <c r="H61" s="16"/>
      <c r="I61" s="29"/>
      <c r="J61" s="16"/>
      <c r="K61" s="16"/>
      <c r="L61" s="16"/>
      <c r="M61" s="29"/>
    </row>
    <row r="62" ht="15.6" customHeight="1" spans="1:13">
      <c r="A62" s="12"/>
      <c r="B62" s="13"/>
      <c r="C62" s="13"/>
      <c r="D62" s="13"/>
      <c r="E62" s="16"/>
      <c r="F62" s="16"/>
      <c r="G62" s="16"/>
      <c r="H62" s="16"/>
      <c r="I62" s="29"/>
      <c r="J62" s="16"/>
      <c r="K62" s="16"/>
      <c r="L62" s="16"/>
      <c r="M62" s="29"/>
    </row>
    <row r="63" ht="15.6" customHeight="1" spans="1:13">
      <c r="A63" s="12"/>
      <c r="B63" s="13"/>
      <c r="C63" s="13"/>
      <c r="D63" s="13"/>
      <c r="E63" s="16"/>
      <c r="F63" s="16"/>
      <c r="G63" s="16"/>
      <c r="H63" s="16"/>
      <c r="I63" s="29"/>
      <c r="J63" s="16"/>
      <c r="K63" s="16"/>
      <c r="L63" s="16"/>
      <c r="M63" s="29"/>
    </row>
    <row r="64" ht="15.6" customHeight="1" spans="1:13">
      <c r="A64" s="12"/>
      <c r="B64" s="13"/>
      <c r="C64" s="13"/>
      <c r="D64" s="13"/>
      <c r="E64" s="16"/>
      <c r="F64" s="16"/>
      <c r="G64" s="16"/>
      <c r="H64" s="16"/>
      <c r="I64" s="29"/>
      <c r="J64" s="16"/>
      <c r="K64" s="16"/>
      <c r="L64" s="16"/>
      <c r="M64" s="29"/>
    </row>
    <row r="65" ht="15.6" customHeight="1" spans="1:13">
      <c r="A65" s="12"/>
      <c r="B65" s="13"/>
      <c r="C65" s="13"/>
      <c r="D65" s="13"/>
      <c r="E65" s="16"/>
      <c r="F65" s="16"/>
      <c r="G65" s="16"/>
      <c r="H65" s="16"/>
      <c r="I65" s="29"/>
      <c r="J65" s="16"/>
      <c r="K65" s="16"/>
      <c r="L65" s="16"/>
      <c r="M65" s="29"/>
    </row>
    <row r="66" ht="15.6" customHeight="1" spans="1:13">
      <c r="A66" s="12"/>
      <c r="B66" s="13"/>
      <c r="C66" s="13"/>
      <c r="D66" s="13"/>
      <c r="E66" s="16"/>
      <c r="F66" s="16"/>
      <c r="G66" s="16"/>
      <c r="H66" s="16"/>
      <c r="I66" s="29"/>
      <c r="J66" s="16"/>
      <c r="K66" s="16"/>
      <c r="L66" s="16"/>
      <c r="M66" s="29"/>
    </row>
    <row r="67" ht="15.6" customHeight="1" spans="1:13">
      <c r="A67" s="12"/>
      <c r="B67" s="13"/>
      <c r="C67" s="13"/>
      <c r="D67" s="13"/>
      <c r="E67" s="16"/>
      <c r="F67" s="16"/>
      <c r="G67" s="16"/>
      <c r="H67" s="16"/>
      <c r="I67" s="29"/>
      <c r="J67" s="16"/>
      <c r="K67" s="16"/>
      <c r="L67" s="16"/>
      <c r="M67" s="29"/>
    </row>
    <row r="68" ht="15.6" customHeight="1" spans="1:13">
      <c r="A68" s="12"/>
      <c r="B68" s="13"/>
      <c r="C68" s="13"/>
      <c r="D68" s="13"/>
      <c r="E68" s="16"/>
      <c r="F68" s="16"/>
      <c r="G68" s="16"/>
      <c r="H68" s="16"/>
      <c r="I68" s="29"/>
      <c r="J68" s="16"/>
      <c r="K68" s="16"/>
      <c r="L68" s="16"/>
      <c r="M68" s="29"/>
    </row>
    <row r="69" ht="15.6" customHeight="1" spans="1:13">
      <c r="A69" s="12"/>
      <c r="B69" s="13"/>
      <c r="C69" s="13"/>
      <c r="D69" s="13"/>
      <c r="E69" s="16"/>
      <c r="F69" s="16"/>
      <c r="G69" s="16"/>
      <c r="H69" s="16"/>
      <c r="I69" s="29"/>
      <c r="J69" s="16"/>
      <c r="K69" s="16"/>
      <c r="L69" s="16"/>
      <c r="M69" s="29"/>
    </row>
    <row r="70" ht="15.6" customHeight="1" spans="1:13">
      <c r="A70" s="12"/>
      <c r="B70" s="13"/>
      <c r="C70" s="13"/>
      <c r="D70" s="13"/>
      <c r="E70" s="16"/>
      <c r="F70" s="16"/>
      <c r="G70" s="16"/>
      <c r="H70" s="16"/>
      <c r="I70" s="29"/>
      <c r="J70" s="16"/>
      <c r="K70" s="16"/>
      <c r="L70" s="16"/>
      <c r="M70" s="29"/>
    </row>
    <row r="71" ht="15.6" customHeight="1" spans="1:13">
      <c r="A71" s="12"/>
      <c r="B71" s="13"/>
      <c r="C71" s="13"/>
      <c r="D71" s="13"/>
      <c r="E71" s="16"/>
      <c r="F71" s="16"/>
      <c r="G71" s="16"/>
      <c r="H71" s="16"/>
      <c r="I71" s="29"/>
      <c r="J71" s="16"/>
      <c r="K71" s="16"/>
      <c r="L71" s="16"/>
      <c r="M71" s="29"/>
    </row>
    <row r="72" ht="15.6" customHeight="1" spans="1:13">
      <c r="A72" s="12"/>
      <c r="B72" s="13"/>
      <c r="C72" s="13"/>
      <c r="D72" s="13"/>
      <c r="E72" s="16"/>
      <c r="F72" s="16"/>
      <c r="G72" s="16"/>
      <c r="H72" s="16"/>
      <c r="I72" s="29"/>
      <c r="J72" s="16"/>
      <c r="K72" s="16"/>
      <c r="L72" s="16"/>
      <c r="M72" s="29"/>
    </row>
    <row r="73" ht="15.6" customHeight="1" spans="1:13">
      <c r="A73" s="12"/>
      <c r="B73" s="13"/>
      <c r="C73" s="13"/>
      <c r="D73" s="13"/>
      <c r="E73" s="16"/>
      <c r="F73" s="16"/>
      <c r="G73" s="16"/>
      <c r="H73" s="16"/>
      <c r="I73" s="29"/>
      <c r="J73" s="16"/>
      <c r="K73" s="16"/>
      <c r="L73" s="16"/>
      <c r="M73" s="29"/>
    </row>
    <row r="74" ht="15.6" customHeight="1" spans="1:13">
      <c r="A74" s="12"/>
      <c r="B74" s="13"/>
      <c r="C74" s="13"/>
      <c r="D74" s="13"/>
      <c r="E74" s="16"/>
      <c r="F74" s="16"/>
      <c r="G74" s="16"/>
      <c r="H74" s="16"/>
      <c r="I74" s="29"/>
      <c r="J74" s="16"/>
      <c r="K74" s="16"/>
      <c r="L74" s="16"/>
      <c r="M74" s="29"/>
    </row>
    <row r="75" ht="15.6" customHeight="1" spans="1:13">
      <c r="A75" s="12"/>
      <c r="B75" s="13"/>
      <c r="C75" s="13"/>
      <c r="D75" s="13"/>
      <c r="E75" s="16"/>
      <c r="F75" s="16"/>
      <c r="G75" s="16"/>
      <c r="H75" s="16"/>
      <c r="I75" s="29"/>
      <c r="J75" s="16"/>
      <c r="K75" s="16"/>
      <c r="L75" s="16"/>
      <c r="M75" s="29"/>
    </row>
    <row r="76" ht="15.6" customHeight="1" spans="1:13">
      <c r="A76" s="12"/>
      <c r="B76" s="13"/>
      <c r="C76" s="13"/>
      <c r="D76" s="13"/>
      <c r="E76" s="16"/>
      <c r="F76" s="16"/>
      <c r="G76" s="16"/>
      <c r="H76" s="16"/>
      <c r="I76" s="29"/>
      <c r="J76" s="16"/>
      <c r="K76" s="16"/>
      <c r="L76" s="16"/>
      <c r="M76" s="29"/>
    </row>
    <row r="77" ht="15.6" customHeight="1" spans="1:13">
      <c r="A77" s="12"/>
      <c r="B77" s="13"/>
      <c r="C77" s="13"/>
      <c r="D77" s="13"/>
      <c r="E77" s="16"/>
      <c r="F77" s="16"/>
      <c r="G77" s="16"/>
      <c r="H77" s="16"/>
      <c r="I77" s="29"/>
      <c r="J77" s="16"/>
      <c r="K77" s="16"/>
      <c r="L77" s="16"/>
      <c r="M77" s="29"/>
    </row>
    <row r="78" ht="15.6" customHeight="1" spans="1:13">
      <c r="A78" s="12"/>
      <c r="B78" s="13"/>
      <c r="C78" s="13"/>
      <c r="D78" s="13"/>
      <c r="E78" s="16"/>
      <c r="F78" s="16"/>
      <c r="G78" s="16"/>
      <c r="H78" s="16"/>
      <c r="I78" s="29"/>
      <c r="J78" s="16"/>
      <c r="K78" s="16"/>
      <c r="L78" s="16"/>
      <c r="M78" s="29"/>
    </row>
    <row r="79" ht="15.6" customHeight="1" spans="1:13">
      <c r="A79" s="12"/>
      <c r="B79" s="13"/>
      <c r="C79" s="13"/>
      <c r="D79" s="13"/>
      <c r="E79" s="16"/>
      <c r="F79" s="16"/>
      <c r="G79" s="16"/>
      <c r="H79" s="16"/>
      <c r="I79" s="29"/>
      <c r="J79" s="16"/>
      <c r="K79" s="16"/>
      <c r="L79" s="16"/>
      <c r="M79" s="29"/>
    </row>
    <row r="80" ht="15.6" customHeight="1" spans="1:13">
      <c r="A80" s="12"/>
      <c r="B80" s="13"/>
      <c r="C80" s="13"/>
      <c r="D80" s="13"/>
      <c r="E80" s="16"/>
      <c r="F80" s="16"/>
      <c r="G80" s="16"/>
      <c r="H80" s="16"/>
      <c r="I80" s="29"/>
      <c r="J80" s="16"/>
      <c r="K80" s="16"/>
      <c r="L80" s="16"/>
      <c r="M80" s="29"/>
    </row>
    <row r="81" ht="15.6" customHeight="1" spans="1:13">
      <c r="A81" s="12"/>
      <c r="B81" s="13"/>
      <c r="C81" s="13"/>
      <c r="D81" s="13"/>
      <c r="E81" s="16"/>
      <c r="F81" s="16"/>
      <c r="G81" s="16"/>
      <c r="H81" s="16"/>
      <c r="I81" s="29"/>
      <c r="J81" s="16"/>
      <c r="K81" s="16"/>
      <c r="L81" s="16"/>
      <c r="M81" s="29"/>
    </row>
    <row r="82" ht="15.6" customHeight="1" spans="1:13">
      <c r="A82" s="12"/>
      <c r="B82" s="13"/>
      <c r="C82" s="13"/>
      <c r="D82" s="13"/>
      <c r="E82" s="16"/>
      <c r="F82" s="16"/>
      <c r="G82" s="16"/>
      <c r="H82" s="16"/>
      <c r="I82" s="29"/>
      <c r="J82" s="16"/>
      <c r="K82" s="16"/>
      <c r="L82" s="16"/>
      <c r="M82" s="29"/>
    </row>
    <row r="83" ht="15.6" customHeight="1" spans="1:13">
      <c r="A83" s="12"/>
      <c r="B83" s="13"/>
      <c r="C83" s="13"/>
      <c r="D83" s="13"/>
      <c r="E83" s="16"/>
      <c r="F83" s="16"/>
      <c r="G83" s="16"/>
      <c r="H83" s="16"/>
      <c r="I83" s="29"/>
      <c r="J83" s="16"/>
      <c r="K83" s="16"/>
      <c r="L83" s="16"/>
      <c r="M83" s="29"/>
    </row>
    <row r="84" ht="15.6" customHeight="1" spans="1:13">
      <c r="A84" s="12"/>
      <c r="B84" s="13"/>
      <c r="C84" s="13"/>
      <c r="D84" s="13"/>
      <c r="E84" s="16"/>
      <c r="F84" s="16"/>
      <c r="G84" s="16"/>
      <c r="H84" s="16"/>
      <c r="I84" s="29"/>
      <c r="J84" s="16"/>
      <c r="K84" s="16"/>
      <c r="L84" s="16"/>
      <c r="M84" s="29"/>
    </row>
    <row r="85" ht="15.6" customHeight="1" spans="1:13">
      <c r="A85" s="12"/>
      <c r="B85" s="13"/>
      <c r="C85" s="13"/>
      <c r="D85" s="13"/>
      <c r="E85" s="16"/>
      <c r="F85" s="16"/>
      <c r="G85" s="16"/>
      <c r="H85" s="16"/>
      <c r="I85" s="29"/>
      <c r="J85" s="16"/>
      <c r="K85" s="16"/>
      <c r="L85" s="16"/>
      <c r="M85" s="29"/>
    </row>
    <row r="86" ht="15.6" customHeight="1" spans="1:13">
      <c r="A86" s="12"/>
      <c r="B86" s="13"/>
      <c r="C86" s="13"/>
      <c r="D86" s="13"/>
      <c r="E86" s="16"/>
      <c r="F86" s="16"/>
      <c r="G86" s="16"/>
      <c r="H86" s="16"/>
      <c r="I86" s="29"/>
      <c r="J86" s="16"/>
      <c r="K86" s="16"/>
      <c r="L86" s="16"/>
      <c r="M86" s="29"/>
    </row>
    <row r="87" ht="15.6" customHeight="1" spans="1:13">
      <c r="A87" s="12"/>
      <c r="B87" s="13"/>
      <c r="C87" s="13"/>
      <c r="D87" s="13"/>
      <c r="E87" s="16"/>
      <c r="F87" s="16"/>
      <c r="G87" s="16"/>
      <c r="H87" s="16"/>
      <c r="I87" s="29"/>
      <c r="J87" s="16"/>
      <c r="K87" s="16"/>
      <c r="L87" s="16"/>
      <c r="M87" s="29"/>
    </row>
    <row r="88" ht="15.6" customHeight="1" spans="1:13">
      <c r="A88" s="12"/>
      <c r="B88" s="13"/>
      <c r="C88" s="13"/>
      <c r="D88" s="13"/>
      <c r="E88" s="16"/>
      <c r="F88" s="16"/>
      <c r="G88" s="16"/>
      <c r="H88" s="16"/>
      <c r="I88" s="29"/>
      <c r="J88" s="16"/>
      <c r="K88" s="16"/>
      <c r="L88" s="16"/>
      <c r="M88" s="29"/>
    </row>
    <row r="89" ht="15.6" customHeight="1" spans="1:13">
      <c r="A89" s="12"/>
      <c r="B89" s="13"/>
      <c r="C89" s="13"/>
      <c r="D89" s="13"/>
      <c r="E89" s="16"/>
      <c r="F89" s="16"/>
      <c r="G89" s="16"/>
      <c r="H89" s="16"/>
      <c r="I89" s="29"/>
      <c r="J89" s="16"/>
      <c r="K89" s="16"/>
      <c r="L89" s="16"/>
      <c r="M89" s="29"/>
    </row>
    <row r="90" ht="15.6" customHeight="1" spans="1:13">
      <c r="A90" s="12"/>
      <c r="B90" s="13"/>
      <c r="C90" s="13"/>
      <c r="D90" s="13"/>
      <c r="E90" s="16"/>
      <c r="F90" s="16"/>
      <c r="G90" s="16"/>
      <c r="H90" s="16"/>
      <c r="I90" s="29"/>
      <c r="J90" s="16"/>
      <c r="K90" s="16"/>
      <c r="L90" s="16"/>
      <c r="M90" s="29"/>
    </row>
    <row r="91" ht="15.6" customHeight="1" spans="1:13">
      <c r="A91" s="12"/>
      <c r="B91" s="13"/>
      <c r="C91" s="13"/>
      <c r="D91" s="13"/>
      <c r="E91" s="16"/>
      <c r="F91" s="16"/>
      <c r="G91" s="16"/>
      <c r="H91" s="16"/>
      <c r="I91" s="29"/>
      <c r="J91" s="16"/>
      <c r="K91" s="16"/>
      <c r="L91" s="16"/>
      <c r="M91" s="29"/>
    </row>
    <row r="92" ht="15.6" customHeight="1" spans="1:13">
      <c r="A92" s="12"/>
      <c r="B92" s="13"/>
      <c r="C92" s="13"/>
      <c r="D92" s="13"/>
      <c r="E92" s="16"/>
      <c r="F92" s="16"/>
      <c r="G92" s="16"/>
      <c r="H92" s="16"/>
      <c r="I92" s="29"/>
      <c r="J92" s="16"/>
      <c r="K92" s="16"/>
      <c r="L92" s="16"/>
      <c r="M92" s="29"/>
    </row>
    <row r="93" ht="15.6" customHeight="1" spans="1:13">
      <c r="A93" s="12"/>
      <c r="B93" s="13"/>
      <c r="C93" s="13"/>
      <c r="D93" s="13"/>
      <c r="E93" s="16"/>
      <c r="F93" s="16"/>
      <c r="G93" s="16"/>
      <c r="H93" s="16"/>
      <c r="I93" s="29"/>
      <c r="J93" s="16"/>
      <c r="K93" s="16"/>
      <c r="L93" s="16"/>
      <c r="M93" s="29"/>
    </row>
    <row r="94" ht="15.6" customHeight="1" spans="1:13">
      <c r="A94" s="12"/>
      <c r="B94" s="13"/>
      <c r="C94" s="13"/>
      <c r="D94" s="13"/>
      <c r="E94" s="16"/>
      <c r="F94" s="16"/>
      <c r="G94" s="16"/>
      <c r="H94" s="16"/>
      <c r="I94" s="29"/>
      <c r="J94" s="16"/>
      <c r="K94" s="16"/>
      <c r="L94" s="16"/>
      <c r="M94" s="29"/>
    </row>
    <row r="95" ht="15.6" customHeight="1" spans="1:13">
      <c r="A95" s="12"/>
      <c r="B95" s="13"/>
      <c r="C95" s="13"/>
      <c r="D95" s="13"/>
      <c r="E95" s="16"/>
      <c r="F95" s="16"/>
      <c r="G95" s="16"/>
      <c r="H95" s="16"/>
      <c r="I95" s="29"/>
      <c r="J95" s="16"/>
      <c r="K95" s="16"/>
      <c r="L95" s="16"/>
      <c r="M95" s="29"/>
    </row>
    <row r="96" ht="15.6" customHeight="1" spans="1:13">
      <c r="A96" s="12"/>
      <c r="B96" s="13"/>
      <c r="C96" s="13"/>
      <c r="D96" s="13"/>
      <c r="E96" s="16"/>
      <c r="F96" s="16"/>
      <c r="G96" s="16"/>
      <c r="H96" s="16"/>
      <c r="I96" s="29"/>
      <c r="J96" s="16"/>
      <c r="K96" s="16"/>
      <c r="L96" s="16"/>
      <c r="M96" s="29"/>
    </row>
    <row r="97" ht="15.6" customHeight="1" spans="1:13">
      <c r="A97" s="12"/>
      <c r="B97" s="13"/>
      <c r="C97" s="13"/>
      <c r="D97" s="13"/>
      <c r="E97" s="16"/>
      <c r="F97" s="16"/>
      <c r="G97" s="16"/>
      <c r="H97" s="16"/>
      <c r="I97" s="29"/>
      <c r="J97" s="16"/>
      <c r="K97" s="16"/>
      <c r="L97" s="16"/>
      <c r="M97" s="29"/>
    </row>
    <row r="98" ht="15.6" customHeight="1" spans="1:13">
      <c r="A98" s="12"/>
      <c r="B98" s="13"/>
      <c r="C98" s="13"/>
      <c r="D98" s="13"/>
      <c r="E98" s="16"/>
      <c r="F98" s="16"/>
      <c r="G98" s="16"/>
      <c r="H98" s="16"/>
      <c r="I98" s="29"/>
      <c r="J98" s="16"/>
      <c r="K98" s="16"/>
      <c r="L98" s="16"/>
      <c r="M98" s="29"/>
    </row>
    <row r="99" ht="15.6" customHeight="1" spans="1:13">
      <c r="A99" s="12"/>
      <c r="B99" s="13"/>
      <c r="C99" s="13"/>
      <c r="D99" s="13"/>
      <c r="E99" s="16"/>
      <c r="F99" s="16"/>
      <c r="G99" s="16"/>
      <c r="H99" s="16"/>
      <c r="I99" s="29"/>
      <c r="J99" s="16"/>
      <c r="K99" s="16"/>
      <c r="L99" s="16"/>
      <c r="M99" s="29"/>
    </row>
    <row r="100" ht="15.6" customHeight="1" spans="1:13">
      <c r="A100" s="12"/>
      <c r="B100" s="13"/>
      <c r="C100" s="13"/>
      <c r="D100" s="13"/>
      <c r="E100" s="16"/>
      <c r="F100" s="16"/>
      <c r="G100" s="16"/>
      <c r="H100" s="16"/>
      <c r="I100" s="29"/>
      <c r="J100" s="16"/>
      <c r="K100" s="16"/>
      <c r="L100" s="16"/>
      <c r="M100" s="29"/>
    </row>
  </sheetData>
  <mergeCells count="4">
    <mergeCell ref="A1:B1"/>
    <mergeCell ref="C1:E1"/>
    <mergeCell ref="F1:I1"/>
    <mergeCell ref="J1:K1"/>
  </mergeCells>
  <conditionalFormatting sqref="A3:E100 J3:M100">
    <cfRule type="expression" dxfId="0" priority="2">
      <formula>MOD(ROW(),2)=0</formula>
    </cfRule>
  </conditionalFormatting>
  <conditionalFormatting sqref="F3:I100">
    <cfRule type="expression" dxfId="0" priority="1">
      <formula>MOD(ROW(),2)=0</formula>
    </cfRule>
  </conditionalFormatting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W100"/>
  <sheetViews>
    <sheetView workbookViewId="0">
      <selection activeCell="N1" sqref="N1:W4"/>
    </sheetView>
  </sheetViews>
  <sheetFormatPr defaultColWidth="8.88888888888889" defaultRowHeight="14.4"/>
  <sheetData>
    <row r="1" ht="31.2" customHeight="1" spans="1:23">
      <c r="A1" s="1" t="s">
        <v>0</v>
      </c>
      <c r="B1" s="2"/>
      <c r="C1" s="3" t="s">
        <v>1</v>
      </c>
      <c r="D1" s="4"/>
      <c r="E1" s="5"/>
      <c r="F1" s="6" t="s">
        <v>2</v>
      </c>
      <c r="G1" s="7"/>
      <c r="H1" s="7"/>
      <c r="I1" s="2"/>
      <c r="J1" s="17" t="s">
        <v>3</v>
      </c>
      <c r="K1" s="2"/>
      <c r="L1" s="18" t="s">
        <v>4</v>
      </c>
      <c r="M1" s="19" t="s">
        <v>5</v>
      </c>
      <c r="N1" s="20" t="s">
        <v>6</v>
      </c>
      <c r="O1" s="21" t="s">
        <v>7</v>
      </c>
      <c r="P1" s="21" t="s">
        <v>8</v>
      </c>
      <c r="Q1" s="21" t="s">
        <v>9</v>
      </c>
      <c r="R1" s="30" t="s">
        <v>10</v>
      </c>
      <c r="S1" s="31" t="s">
        <v>11</v>
      </c>
      <c r="T1" s="32" t="s">
        <v>12</v>
      </c>
      <c r="U1" s="32" t="s">
        <v>13</v>
      </c>
      <c r="V1" s="32" t="s">
        <v>14</v>
      </c>
      <c r="W1" s="33" t="s">
        <v>15</v>
      </c>
    </row>
    <row r="2" ht="47.55" customHeight="1" spans="1:23">
      <c r="A2" s="8" t="s">
        <v>16</v>
      </c>
      <c r="B2" s="9" t="s">
        <v>17</v>
      </c>
      <c r="C2" s="10" t="s">
        <v>18</v>
      </c>
      <c r="D2" s="10" t="s">
        <v>19</v>
      </c>
      <c r="E2" s="10" t="s">
        <v>20</v>
      </c>
      <c r="F2" s="11" t="s">
        <v>21</v>
      </c>
      <c r="G2" s="11" t="s">
        <v>22</v>
      </c>
      <c r="H2" s="11" t="s">
        <v>23</v>
      </c>
      <c r="I2" s="11" t="s">
        <v>24</v>
      </c>
      <c r="J2" s="22" t="s">
        <v>25</v>
      </c>
      <c r="K2" s="22" t="s">
        <v>26</v>
      </c>
      <c r="L2" s="23" t="s">
        <v>27</v>
      </c>
      <c r="M2" s="24" t="s">
        <v>28</v>
      </c>
      <c r="N2" s="25">
        <f>QUARTILE(F3:F200,4)</f>
        <v>0.0196</v>
      </c>
      <c r="O2" s="26">
        <f>QUARTILE(F3:F200,3)</f>
        <v>-0.0013</v>
      </c>
      <c r="P2" s="26">
        <f>QUARTILE(F3:F200,2)</f>
        <v>-0.0035</v>
      </c>
      <c r="Q2" s="26">
        <f>QUARTILE(F3:F200,1)</f>
        <v>-0.008</v>
      </c>
      <c r="R2" s="34">
        <f>QUARTILE(F3:F200,0)</f>
        <v>-0.023</v>
      </c>
      <c r="S2" s="25">
        <f>QUARTILE(H3:H200,4)</f>
        <v>0.2031</v>
      </c>
      <c r="T2" s="26">
        <f>QUARTILE(H3:H200,3)</f>
        <v>0.0596</v>
      </c>
      <c r="U2" s="26">
        <f>QUARTILE(H3:H200,2)</f>
        <v>0.0425</v>
      </c>
      <c r="V2" s="26">
        <f>QUARTILE(H3:H200,1)</f>
        <v>-0.0204</v>
      </c>
      <c r="W2" s="34">
        <f>QUARTILE(H3:H200,0)</f>
        <v>-0.044</v>
      </c>
    </row>
    <row r="3" ht="43.2" customHeight="1" spans="1:13">
      <c r="A3" s="12" t="s">
        <v>1486</v>
      </c>
      <c r="B3" s="13" t="s">
        <v>38</v>
      </c>
      <c r="C3" s="14" t="s">
        <v>1487</v>
      </c>
      <c r="D3" s="14" t="s">
        <v>1488</v>
      </c>
      <c r="E3" s="15" t="s">
        <v>1489</v>
      </c>
      <c r="F3" s="16">
        <v>0.0196</v>
      </c>
      <c r="G3" s="16">
        <v>0.0006</v>
      </c>
      <c r="H3" s="16">
        <v>0.0596</v>
      </c>
      <c r="I3" s="27">
        <v>0.2411</v>
      </c>
      <c r="J3" s="16">
        <v>0.1306</v>
      </c>
      <c r="K3" s="16">
        <v>0.1306</v>
      </c>
      <c r="L3" s="16">
        <v>0.1715</v>
      </c>
      <c r="M3" s="29">
        <v>1.289</v>
      </c>
    </row>
    <row r="4" ht="16.35" customHeight="1" spans="1:13">
      <c r="A4" s="12" t="s">
        <v>1490</v>
      </c>
      <c r="B4" s="13" t="s">
        <v>30</v>
      </c>
      <c r="C4" s="13" t="s">
        <v>1491</v>
      </c>
      <c r="D4" s="13" t="s">
        <v>1488</v>
      </c>
      <c r="E4" s="16" t="s">
        <v>1492</v>
      </c>
      <c r="F4" s="16">
        <v>0.0098</v>
      </c>
      <c r="G4" s="16">
        <v>0.0053</v>
      </c>
      <c r="H4" s="16">
        <v>-0.0251</v>
      </c>
      <c r="I4" s="27">
        <v>0.1251</v>
      </c>
      <c r="J4" s="16">
        <v>0.0689</v>
      </c>
      <c r="K4" s="16">
        <v>0.0782</v>
      </c>
      <c r="L4" s="16">
        <v>0.1045</v>
      </c>
      <c r="M4" s="29">
        <v>1.0063</v>
      </c>
    </row>
    <row r="5" ht="15.6" customHeight="1" spans="1:13">
      <c r="A5" s="12" t="s">
        <v>1493</v>
      </c>
      <c r="B5" s="13" t="s">
        <v>38</v>
      </c>
      <c r="C5" s="13" t="s">
        <v>1494</v>
      </c>
      <c r="D5" s="13" t="s">
        <v>1488</v>
      </c>
      <c r="E5" s="16" t="s">
        <v>1212</v>
      </c>
      <c r="F5" s="16">
        <v>0.0035</v>
      </c>
      <c r="G5" s="16">
        <v>0.0302</v>
      </c>
      <c r="H5" s="16">
        <v>0.0339</v>
      </c>
      <c r="I5" s="27">
        <v>0.3021</v>
      </c>
      <c r="J5" s="16">
        <v>0.0624</v>
      </c>
      <c r="K5" s="16">
        <v>0.1568</v>
      </c>
      <c r="L5" s="16">
        <v>0.1881</v>
      </c>
      <c r="M5" s="29">
        <v>1.4994</v>
      </c>
    </row>
    <row r="6" ht="15.6" customHeight="1" spans="1:13">
      <c r="A6" s="12" t="s">
        <v>1495</v>
      </c>
      <c r="B6" s="13" t="s">
        <v>61</v>
      </c>
      <c r="C6" s="13" t="s">
        <v>1496</v>
      </c>
      <c r="D6" s="13" t="s">
        <v>1488</v>
      </c>
      <c r="E6" s="16" t="s">
        <v>1497</v>
      </c>
      <c r="F6" s="16">
        <v>0.001</v>
      </c>
      <c r="G6" s="16">
        <v>-0.0066</v>
      </c>
      <c r="H6" s="16">
        <v>-0.0101</v>
      </c>
      <c r="I6" s="27">
        <v>0.125</v>
      </c>
      <c r="J6" s="16">
        <v>0.0304</v>
      </c>
      <c r="K6" s="16">
        <v>0.1405</v>
      </c>
      <c r="L6" s="16">
        <v>0.1016</v>
      </c>
      <c r="M6" s="29">
        <v>1.0329</v>
      </c>
    </row>
    <row r="7" ht="15.6" customHeight="1" spans="1:13">
      <c r="A7" s="12" t="s">
        <v>1498</v>
      </c>
      <c r="B7" s="13" t="s">
        <v>61</v>
      </c>
      <c r="C7" s="13" t="s">
        <v>1499</v>
      </c>
      <c r="D7" s="13" t="s">
        <v>1488</v>
      </c>
      <c r="E7" s="16" t="s">
        <v>998</v>
      </c>
      <c r="F7" s="16">
        <v>0.0008</v>
      </c>
      <c r="G7" s="16">
        <v>0.0323</v>
      </c>
      <c r="H7" s="16">
        <v>0.0363</v>
      </c>
      <c r="I7" s="27">
        <v>0.2093</v>
      </c>
      <c r="J7" s="16">
        <v>0.0498</v>
      </c>
      <c r="K7" s="16">
        <v>0.0498</v>
      </c>
      <c r="L7" s="16">
        <v>0.1041</v>
      </c>
      <c r="M7" s="29">
        <v>1.819</v>
      </c>
    </row>
    <row r="8" ht="15.6" customHeight="1" spans="1:13">
      <c r="A8" s="12" t="s">
        <v>1500</v>
      </c>
      <c r="B8" s="13" t="s">
        <v>30</v>
      </c>
      <c r="C8" s="13" t="s">
        <v>1501</v>
      </c>
      <c r="D8" s="13" t="s">
        <v>1488</v>
      </c>
      <c r="E8" s="16" t="s">
        <v>524</v>
      </c>
      <c r="F8" s="16">
        <v>-0.0013</v>
      </c>
      <c r="G8" s="16">
        <v>0.0241</v>
      </c>
      <c r="H8" s="16">
        <v>0.0755</v>
      </c>
      <c r="I8" s="27">
        <v>0.0994</v>
      </c>
      <c r="J8" s="16">
        <v>0.0145</v>
      </c>
      <c r="K8" s="16">
        <v>0.0672</v>
      </c>
      <c r="L8" s="16">
        <v>0.0425</v>
      </c>
      <c r="M8" s="29">
        <v>1.8655</v>
      </c>
    </row>
    <row r="9" ht="15.6" customHeight="1" spans="1:13">
      <c r="A9" s="12" t="s">
        <v>1310</v>
      </c>
      <c r="B9" s="13" t="s">
        <v>61</v>
      </c>
      <c r="C9" s="13" t="s">
        <v>1502</v>
      </c>
      <c r="D9" s="13" t="s">
        <v>1488</v>
      </c>
      <c r="E9" s="16" t="s">
        <v>1503</v>
      </c>
      <c r="F9" s="16">
        <v>-0.002</v>
      </c>
      <c r="G9" s="16">
        <v>0.0228</v>
      </c>
      <c r="H9" s="16">
        <v>0.2031</v>
      </c>
      <c r="I9" s="27">
        <v>0.3113</v>
      </c>
      <c r="J9" s="16">
        <v>0.0532</v>
      </c>
      <c r="K9" s="16">
        <v>0.1263</v>
      </c>
      <c r="L9" s="16">
        <v>0.1924</v>
      </c>
      <c r="M9" s="29">
        <v>1.5136</v>
      </c>
    </row>
    <row r="10" ht="15.6" customHeight="1" spans="1:13">
      <c r="A10" s="12" t="s">
        <v>1297</v>
      </c>
      <c r="B10" s="13" t="s">
        <v>30</v>
      </c>
      <c r="C10" s="13" t="s">
        <v>1504</v>
      </c>
      <c r="D10" s="13" t="s">
        <v>1488</v>
      </c>
      <c r="E10" s="16" t="s">
        <v>1505</v>
      </c>
      <c r="F10" s="16">
        <v>-0.0027</v>
      </c>
      <c r="G10" s="16">
        <v>-0.009</v>
      </c>
      <c r="H10" s="16">
        <v>-0.0204</v>
      </c>
      <c r="I10" s="27">
        <v>0.064</v>
      </c>
      <c r="J10" s="16">
        <v>0.0735</v>
      </c>
      <c r="K10" s="16">
        <v>0.0735</v>
      </c>
      <c r="L10" s="16">
        <v>0.083</v>
      </c>
      <c r="M10" s="29">
        <v>0.5293</v>
      </c>
    </row>
    <row r="11" ht="15.6" customHeight="1" spans="1:13">
      <c r="A11" s="12" t="s">
        <v>1506</v>
      </c>
      <c r="B11" s="13" t="s">
        <v>54</v>
      </c>
      <c r="C11" s="13" t="s">
        <v>1507</v>
      </c>
      <c r="D11" s="13" t="s">
        <v>1488</v>
      </c>
      <c r="E11" s="16" t="s">
        <v>1508</v>
      </c>
      <c r="F11" s="16">
        <v>-0.0031</v>
      </c>
      <c r="G11" s="16">
        <v>-0.0443</v>
      </c>
      <c r="H11" s="16">
        <v>0.0488</v>
      </c>
      <c r="I11" s="27">
        <v>0.0613</v>
      </c>
      <c r="J11" s="16">
        <v>0.0623</v>
      </c>
      <c r="K11" s="16">
        <v>0.0716</v>
      </c>
      <c r="L11" s="16">
        <v>0.0646</v>
      </c>
      <c r="M11" s="29">
        <v>0.6389</v>
      </c>
    </row>
    <row r="12" ht="15.6" customHeight="1" spans="1:13">
      <c r="A12" s="12" t="s">
        <v>1509</v>
      </c>
      <c r="B12" s="13" t="s">
        <v>54</v>
      </c>
      <c r="C12" s="13" t="s">
        <v>1510</v>
      </c>
      <c r="D12" s="13" t="s">
        <v>1488</v>
      </c>
      <c r="E12" s="16" t="s">
        <v>1511</v>
      </c>
      <c r="F12" s="16">
        <v>-0.0032</v>
      </c>
      <c r="G12" s="16">
        <v>0.013</v>
      </c>
      <c r="H12" s="16">
        <v>-0.027</v>
      </c>
      <c r="I12" s="27">
        <v>0.1419</v>
      </c>
      <c r="J12" s="16">
        <v>0.091</v>
      </c>
      <c r="K12" s="16">
        <v>0.091</v>
      </c>
      <c r="L12" s="16">
        <v>0.1017</v>
      </c>
      <c r="M12" s="29">
        <v>1.1989</v>
      </c>
    </row>
    <row r="13" ht="15.6" customHeight="1" spans="1:13">
      <c r="A13" s="12" t="s">
        <v>1512</v>
      </c>
      <c r="B13" s="13" t="s">
        <v>61</v>
      </c>
      <c r="C13" s="13" t="s">
        <v>1513</v>
      </c>
      <c r="D13" s="13" t="s">
        <v>1488</v>
      </c>
      <c r="E13" s="16" t="s">
        <v>1514</v>
      </c>
      <c r="F13" s="16">
        <v>-0.0035</v>
      </c>
      <c r="G13" s="16">
        <v>0.0125</v>
      </c>
      <c r="H13" s="16">
        <v>0.0589</v>
      </c>
      <c r="I13" s="27">
        <v>0.1529</v>
      </c>
      <c r="J13" s="16">
        <v>0.0449</v>
      </c>
      <c r="K13" s="16">
        <v>0.2027</v>
      </c>
      <c r="L13" s="16">
        <v>0.1056</v>
      </c>
      <c r="M13" s="29">
        <v>1.2588</v>
      </c>
    </row>
    <row r="14" ht="15.6" customHeight="1" spans="1:13">
      <c r="A14" s="12" t="s">
        <v>365</v>
      </c>
      <c r="B14" s="13" t="s">
        <v>156</v>
      </c>
      <c r="C14" s="13" t="s">
        <v>1515</v>
      </c>
      <c r="D14" s="13" t="s">
        <v>1488</v>
      </c>
      <c r="E14" s="16" t="s">
        <v>1516</v>
      </c>
      <c r="F14" s="16">
        <v>-0.0047</v>
      </c>
      <c r="G14" s="16">
        <v>-0.0223</v>
      </c>
      <c r="H14" s="16">
        <v>0.1032</v>
      </c>
      <c r="I14" s="27">
        <v>0.195</v>
      </c>
      <c r="J14" s="16">
        <v>0.0523</v>
      </c>
      <c r="K14" s="16">
        <v>0.1022</v>
      </c>
      <c r="L14" s="16">
        <v>0.1608</v>
      </c>
      <c r="M14" s="29">
        <v>1.0884</v>
      </c>
    </row>
    <row r="15" ht="15.6" customHeight="1" spans="1:13">
      <c r="A15" s="12" t="s">
        <v>1517</v>
      </c>
      <c r="B15" s="13" t="s">
        <v>156</v>
      </c>
      <c r="C15" s="13" t="s">
        <v>1518</v>
      </c>
      <c r="D15" s="13" t="s">
        <v>1488</v>
      </c>
      <c r="E15" s="16" t="s">
        <v>1519</v>
      </c>
      <c r="F15" s="16">
        <v>-0.0057</v>
      </c>
      <c r="G15" s="16">
        <v>-0.0131</v>
      </c>
      <c r="H15" s="16">
        <v>-0.0399</v>
      </c>
      <c r="I15" s="27">
        <v>0.064</v>
      </c>
      <c r="J15" s="16">
        <v>0.0854</v>
      </c>
      <c r="K15" s="16">
        <v>0.1005</v>
      </c>
      <c r="L15" s="16">
        <v>0.0864</v>
      </c>
      <c r="M15" s="29">
        <v>0.5087</v>
      </c>
    </row>
    <row r="16" ht="15.6" customHeight="1" spans="1:13">
      <c r="A16" s="12" t="s">
        <v>1520</v>
      </c>
      <c r="B16" s="13" t="s">
        <v>217</v>
      </c>
      <c r="C16" s="13" t="s">
        <v>1521</v>
      </c>
      <c r="D16" s="13" t="s">
        <v>1488</v>
      </c>
      <c r="E16" s="16" t="s">
        <v>809</v>
      </c>
      <c r="F16" s="16">
        <v>-0.0063</v>
      </c>
      <c r="G16" s="16">
        <v>-0.0269</v>
      </c>
      <c r="H16" s="16">
        <v>0.0447</v>
      </c>
      <c r="I16" s="27">
        <v>0.1967</v>
      </c>
      <c r="J16" s="16">
        <v>0.0755</v>
      </c>
      <c r="K16" s="16">
        <v>0.0852</v>
      </c>
      <c r="L16" s="16">
        <v>0.0994</v>
      </c>
      <c r="M16" s="29">
        <v>1.7778</v>
      </c>
    </row>
    <row r="17" ht="15.6" customHeight="1" spans="1:13">
      <c r="A17" s="12" t="s">
        <v>328</v>
      </c>
      <c r="B17" s="13" t="s">
        <v>217</v>
      </c>
      <c r="C17" s="13" t="s">
        <v>1522</v>
      </c>
      <c r="D17" s="13" t="s">
        <v>1488</v>
      </c>
      <c r="E17" s="16" t="s">
        <v>1523</v>
      </c>
      <c r="F17" s="16">
        <v>-0.0075</v>
      </c>
      <c r="G17" s="16">
        <v>-0.0029</v>
      </c>
      <c r="H17" s="16">
        <v>0.0995</v>
      </c>
      <c r="I17" s="27">
        <v>0.1956</v>
      </c>
      <c r="J17" s="16">
        <v>0.0171</v>
      </c>
      <c r="K17" s="16">
        <v>0.0498</v>
      </c>
      <c r="L17" s="16">
        <v>0.0907</v>
      </c>
      <c r="M17" s="29">
        <v>1.9365</v>
      </c>
    </row>
    <row r="18" ht="15.6" customHeight="1" spans="1:13">
      <c r="A18" s="12" t="s">
        <v>1524</v>
      </c>
      <c r="B18" s="13" t="s">
        <v>217</v>
      </c>
      <c r="C18" s="13" t="s">
        <v>1525</v>
      </c>
      <c r="D18" s="13" t="s">
        <v>1488</v>
      </c>
      <c r="E18" s="16" t="s">
        <v>1526</v>
      </c>
      <c r="F18" s="16">
        <v>-0.008</v>
      </c>
      <c r="G18" s="16">
        <v>-0.0517</v>
      </c>
      <c r="H18" s="16">
        <v>0.0425</v>
      </c>
      <c r="I18" s="27">
        <v>0.262</v>
      </c>
      <c r="J18" s="16">
        <v>0.089</v>
      </c>
      <c r="K18" s="16">
        <v>0.2247</v>
      </c>
      <c r="L18" s="16">
        <v>0.1648</v>
      </c>
      <c r="M18" s="29">
        <v>1.469</v>
      </c>
    </row>
    <row r="19" ht="15.6" customHeight="1" spans="1:13">
      <c r="A19" s="12" t="s">
        <v>1527</v>
      </c>
      <c r="B19" s="13" t="s">
        <v>30</v>
      </c>
      <c r="C19" s="13" t="s">
        <v>1528</v>
      </c>
      <c r="D19" s="13" t="s">
        <v>1488</v>
      </c>
      <c r="E19" s="16" t="s">
        <v>1529</v>
      </c>
      <c r="F19" s="16">
        <v>-0.0114</v>
      </c>
      <c r="G19" s="16">
        <v>-0.0018</v>
      </c>
      <c r="H19" s="16">
        <v>-0.044</v>
      </c>
      <c r="I19" s="27">
        <v>0.0793</v>
      </c>
      <c r="J19" s="16">
        <v>0.0625</v>
      </c>
      <c r="K19" s="16">
        <v>0.0625</v>
      </c>
      <c r="L19" s="16">
        <v>0.0634</v>
      </c>
      <c r="M19" s="29">
        <v>0.9362</v>
      </c>
    </row>
    <row r="20" ht="15.6" customHeight="1" spans="1:13">
      <c r="A20" s="12" t="s">
        <v>1530</v>
      </c>
      <c r="B20" s="13" t="s">
        <v>61</v>
      </c>
      <c r="C20" s="13" t="s">
        <v>1531</v>
      </c>
      <c r="D20" s="13" t="s">
        <v>1488</v>
      </c>
      <c r="E20" s="16" t="s">
        <v>1532</v>
      </c>
      <c r="F20" s="16">
        <v>-0.0126</v>
      </c>
      <c r="G20" s="16">
        <v>0.0179</v>
      </c>
      <c r="H20" s="16">
        <v>-0.0282</v>
      </c>
      <c r="I20" s="27">
        <v>0.1611</v>
      </c>
      <c r="J20" s="16">
        <v>0.0894</v>
      </c>
      <c r="K20" s="16">
        <v>0.1064</v>
      </c>
      <c r="L20" s="16">
        <v>0.1227</v>
      </c>
      <c r="M20" s="29">
        <v>1.1506</v>
      </c>
    </row>
    <row r="21" ht="15.6" customHeight="1" spans="1:13">
      <c r="A21" s="12" t="s">
        <v>337</v>
      </c>
      <c r="B21" s="13" t="s">
        <v>156</v>
      </c>
      <c r="C21" s="13" t="s">
        <v>1533</v>
      </c>
      <c r="D21" s="13" t="s">
        <v>1488</v>
      </c>
      <c r="E21" s="16" t="s">
        <v>1399</v>
      </c>
      <c r="F21" s="16">
        <v>-0.0149</v>
      </c>
      <c r="G21" s="16">
        <v>0.0073</v>
      </c>
      <c r="H21" s="16">
        <v>0.0502</v>
      </c>
      <c r="I21" s="27">
        <v>0.1792</v>
      </c>
      <c r="J21" s="16">
        <v>0.025</v>
      </c>
      <c r="K21" s="16">
        <v>0.0317</v>
      </c>
      <c r="L21" s="16">
        <v>0.0647</v>
      </c>
      <c r="M21" s="29">
        <v>2.4609</v>
      </c>
    </row>
    <row r="22" ht="15.6" customHeight="1" spans="1:13">
      <c r="A22" s="12" t="s">
        <v>1534</v>
      </c>
      <c r="B22" s="13" t="s">
        <v>38</v>
      </c>
      <c r="C22" s="13" t="s">
        <v>1535</v>
      </c>
      <c r="D22" s="13" t="s">
        <v>1488</v>
      </c>
      <c r="E22" s="16" t="s">
        <v>1536</v>
      </c>
      <c r="F22" s="16">
        <v>-0.0199</v>
      </c>
      <c r="G22" s="16">
        <v>0.0186</v>
      </c>
      <c r="H22" s="16">
        <v>0.0271</v>
      </c>
      <c r="I22" s="27">
        <v>0.057</v>
      </c>
      <c r="J22" s="16">
        <v>0.0892</v>
      </c>
      <c r="K22" s="16">
        <v>0.1041</v>
      </c>
      <c r="L22" s="16">
        <v>0.1439</v>
      </c>
      <c r="M22" s="29">
        <v>0.2574</v>
      </c>
    </row>
    <row r="23" ht="15.6" customHeight="1" spans="1:13">
      <c r="A23" s="12" t="s">
        <v>1537</v>
      </c>
      <c r="B23" s="13" t="s">
        <v>38</v>
      </c>
      <c r="C23" s="13" t="s">
        <v>1538</v>
      </c>
      <c r="D23" s="13" t="s">
        <v>1488</v>
      </c>
      <c r="E23" s="16" t="s">
        <v>1539</v>
      </c>
      <c r="F23" s="16">
        <v>-0.023</v>
      </c>
      <c r="G23" s="16">
        <v>0.0065</v>
      </c>
      <c r="H23" s="16">
        <v>0.1676</v>
      </c>
      <c r="I23" s="27">
        <v>0.2444</v>
      </c>
      <c r="J23" s="16">
        <v>0.1066</v>
      </c>
      <c r="K23" s="16">
        <v>0.1663</v>
      </c>
      <c r="L23" s="16">
        <v>0.2278</v>
      </c>
      <c r="M23" s="29">
        <v>0.9854</v>
      </c>
    </row>
    <row r="24" ht="15.6" customHeight="1" spans="1:13">
      <c r="A24" s="12"/>
      <c r="B24" s="13"/>
      <c r="C24" s="13"/>
      <c r="D24" s="13"/>
      <c r="E24" s="16"/>
      <c r="F24" s="16"/>
      <c r="G24" s="16"/>
      <c r="H24" s="16"/>
      <c r="I24" s="29"/>
      <c r="J24" s="16"/>
      <c r="K24" s="16"/>
      <c r="L24" s="16"/>
      <c r="M24" s="29"/>
    </row>
    <row r="25" ht="15.6" customHeight="1" spans="1:13">
      <c r="A25" s="12"/>
      <c r="B25" s="13"/>
      <c r="C25" s="13"/>
      <c r="D25" s="13"/>
      <c r="E25" s="16"/>
      <c r="F25" s="16"/>
      <c r="G25" s="16"/>
      <c r="H25" s="16"/>
      <c r="I25" s="29"/>
      <c r="J25" s="16"/>
      <c r="K25" s="16"/>
      <c r="L25" s="16"/>
      <c r="M25" s="29"/>
    </row>
    <row r="26" ht="15.6" customHeight="1" spans="1:13">
      <c r="A26" s="12"/>
      <c r="B26" s="13"/>
      <c r="C26" s="13"/>
      <c r="D26" s="13"/>
      <c r="E26" s="16"/>
      <c r="F26" s="16"/>
      <c r="G26" s="16"/>
      <c r="H26" s="16"/>
      <c r="I26" s="29"/>
      <c r="J26" s="16"/>
      <c r="K26" s="16"/>
      <c r="L26" s="16"/>
      <c r="M26" s="29"/>
    </row>
    <row r="27" ht="15.6" customHeight="1" spans="1:13">
      <c r="A27" s="12"/>
      <c r="B27" s="13"/>
      <c r="C27" s="13"/>
      <c r="D27" s="13"/>
      <c r="E27" s="16"/>
      <c r="F27" s="16"/>
      <c r="G27" s="16"/>
      <c r="H27" s="16"/>
      <c r="I27" s="29"/>
      <c r="J27" s="16"/>
      <c r="K27" s="16"/>
      <c r="L27" s="16"/>
      <c r="M27" s="29"/>
    </row>
    <row r="28" ht="15.6" customHeight="1" spans="1:13">
      <c r="A28" s="12"/>
      <c r="B28" s="13"/>
      <c r="C28" s="13"/>
      <c r="D28" s="13"/>
      <c r="E28" s="16"/>
      <c r="F28" s="16"/>
      <c r="G28" s="16"/>
      <c r="H28" s="16"/>
      <c r="I28" s="29"/>
      <c r="J28" s="16"/>
      <c r="K28" s="16"/>
      <c r="L28" s="16"/>
      <c r="M28" s="29"/>
    </row>
    <row r="29" ht="15.6" customHeight="1" spans="1:13">
      <c r="A29" s="12"/>
      <c r="B29" s="13"/>
      <c r="C29" s="13"/>
      <c r="D29" s="13"/>
      <c r="E29" s="16"/>
      <c r="F29" s="16"/>
      <c r="G29" s="16"/>
      <c r="H29" s="16"/>
      <c r="I29" s="29"/>
      <c r="J29" s="16"/>
      <c r="K29" s="16"/>
      <c r="L29" s="16"/>
      <c r="M29" s="29"/>
    </row>
    <row r="30" ht="15.6" customHeight="1" spans="1:13">
      <c r="A30" s="12"/>
      <c r="B30" s="13"/>
      <c r="C30" s="13"/>
      <c r="D30" s="13"/>
      <c r="E30" s="16"/>
      <c r="F30" s="16"/>
      <c r="G30" s="16"/>
      <c r="H30" s="16"/>
      <c r="I30" s="29"/>
      <c r="J30" s="16"/>
      <c r="K30" s="16"/>
      <c r="L30" s="16"/>
      <c r="M30" s="29"/>
    </row>
    <row r="31" ht="15.6" customHeight="1" spans="1:13">
      <c r="A31" s="12"/>
      <c r="B31" s="13"/>
      <c r="C31" s="13"/>
      <c r="D31" s="13"/>
      <c r="E31" s="16"/>
      <c r="F31" s="16"/>
      <c r="G31" s="16"/>
      <c r="H31" s="16"/>
      <c r="I31" s="29"/>
      <c r="J31" s="16"/>
      <c r="K31" s="16"/>
      <c r="L31" s="16"/>
      <c r="M31" s="29"/>
    </row>
    <row r="32" ht="15.6" customHeight="1" spans="1:13">
      <c r="A32" s="12"/>
      <c r="B32" s="13"/>
      <c r="C32" s="13"/>
      <c r="D32" s="13"/>
      <c r="E32" s="16"/>
      <c r="F32" s="16"/>
      <c r="G32" s="16"/>
      <c r="H32" s="16"/>
      <c r="I32" s="29"/>
      <c r="J32" s="16"/>
      <c r="K32" s="16"/>
      <c r="L32" s="16"/>
      <c r="M32" s="29"/>
    </row>
    <row r="33" ht="15.6" customHeight="1" spans="1:13">
      <c r="A33" s="12"/>
      <c r="B33" s="13"/>
      <c r="C33" s="13"/>
      <c r="D33" s="13"/>
      <c r="E33" s="16"/>
      <c r="F33" s="16"/>
      <c r="G33" s="16"/>
      <c r="H33" s="16"/>
      <c r="I33" s="29"/>
      <c r="J33" s="16"/>
      <c r="K33" s="16"/>
      <c r="L33" s="16"/>
      <c r="M33" s="29"/>
    </row>
    <row r="34" ht="15.6" customHeight="1" spans="1:13">
      <c r="A34" s="12"/>
      <c r="B34" s="13"/>
      <c r="C34" s="13"/>
      <c r="D34" s="13"/>
      <c r="E34" s="16"/>
      <c r="F34" s="16"/>
      <c r="G34" s="16"/>
      <c r="H34" s="16"/>
      <c r="I34" s="29"/>
      <c r="J34" s="16"/>
      <c r="K34" s="16"/>
      <c r="L34" s="16"/>
      <c r="M34" s="29"/>
    </row>
    <row r="35" ht="15.6" customHeight="1" spans="1:13">
      <c r="A35" s="12"/>
      <c r="B35" s="13"/>
      <c r="C35" s="13"/>
      <c r="D35" s="13"/>
      <c r="E35" s="16"/>
      <c r="F35" s="16"/>
      <c r="G35" s="16"/>
      <c r="H35" s="16"/>
      <c r="I35" s="29"/>
      <c r="J35" s="16"/>
      <c r="K35" s="16"/>
      <c r="L35" s="16"/>
      <c r="M35" s="29"/>
    </row>
    <row r="36" ht="15.6" customHeight="1" spans="1:13">
      <c r="A36" s="12"/>
      <c r="B36" s="13"/>
      <c r="C36" s="13"/>
      <c r="D36" s="13"/>
      <c r="E36" s="16"/>
      <c r="F36" s="16"/>
      <c r="G36" s="16"/>
      <c r="H36" s="16"/>
      <c r="I36" s="29"/>
      <c r="J36" s="16"/>
      <c r="K36" s="16"/>
      <c r="L36" s="16"/>
      <c r="M36" s="29"/>
    </row>
    <row r="37" ht="15.6" customHeight="1" spans="1:13">
      <c r="A37" s="12"/>
      <c r="B37" s="13"/>
      <c r="C37" s="13"/>
      <c r="D37" s="13"/>
      <c r="E37" s="16"/>
      <c r="F37" s="16"/>
      <c r="G37" s="16"/>
      <c r="H37" s="16"/>
      <c r="I37" s="29"/>
      <c r="J37" s="16"/>
      <c r="K37" s="16"/>
      <c r="L37" s="16"/>
      <c r="M37" s="29"/>
    </row>
    <row r="38" ht="15.6" customHeight="1" spans="1:13">
      <c r="A38" s="12"/>
      <c r="B38" s="13"/>
      <c r="C38" s="13"/>
      <c r="D38" s="13"/>
      <c r="E38" s="16"/>
      <c r="F38" s="16"/>
      <c r="G38" s="16"/>
      <c r="H38" s="16"/>
      <c r="I38" s="29"/>
      <c r="J38" s="16"/>
      <c r="K38" s="16"/>
      <c r="L38" s="16"/>
      <c r="M38" s="29"/>
    </row>
    <row r="39" ht="15.6" customHeight="1" spans="1:13">
      <c r="A39" s="12"/>
      <c r="B39" s="13"/>
      <c r="C39" s="13"/>
      <c r="D39" s="13"/>
      <c r="E39" s="16"/>
      <c r="F39" s="16"/>
      <c r="G39" s="16"/>
      <c r="H39" s="16"/>
      <c r="I39" s="29"/>
      <c r="J39" s="16"/>
      <c r="K39" s="16"/>
      <c r="L39" s="16"/>
      <c r="M39" s="29"/>
    </row>
    <row r="40" ht="15.6" customHeight="1" spans="1:13">
      <c r="A40" s="12"/>
      <c r="B40" s="13"/>
      <c r="C40" s="13"/>
      <c r="D40" s="13"/>
      <c r="E40" s="16"/>
      <c r="F40" s="16"/>
      <c r="G40" s="16"/>
      <c r="H40" s="16"/>
      <c r="I40" s="29"/>
      <c r="J40" s="16"/>
      <c r="K40" s="16"/>
      <c r="L40" s="16"/>
      <c r="M40" s="29"/>
    </row>
    <row r="41" ht="15.6" customHeight="1" spans="1:13">
      <c r="A41" s="12"/>
      <c r="B41" s="13"/>
      <c r="C41" s="13"/>
      <c r="D41" s="13"/>
      <c r="E41" s="16"/>
      <c r="F41" s="16"/>
      <c r="G41" s="16"/>
      <c r="H41" s="16"/>
      <c r="I41" s="29"/>
      <c r="J41" s="16"/>
      <c r="K41" s="16"/>
      <c r="L41" s="16"/>
      <c r="M41" s="29"/>
    </row>
    <row r="42" ht="15.6" customHeight="1" spans="1:13">
      <c r="A42" s="12"/>
      <c r="B42" s="13"/>
      <c r="C42" s="13"/>
      <c r="D42" s="13"/>
      <c r="E42" s="16"/>
      <c r="F42" s="16"/>
      <c r="G42" s="16"/>
      <c r="H42" s="16"/>
      <c r="I42" s="29"/>
      <c r="J42" s="16"/>
      <c r="K42" s="16"/>
      <c r="L42" s="16"/>
      <c r="M42" s="29"/>
    </row>
    <row r="43" ht="15.6" customHeight="1" spans="1:13">
      <c r="A43" s="12"/>
      <c r="B43" s="13"/>
      <c r="C43" s="13"/>
      <c r="D43" s="13"/>
      <c r="E43" s="16"/>
      <c r="F43" s="16"/>
      <c r="G43" s="16"/>
      <c r="H43" s="16"/>
      <c r="I43" s="29"/>
      <c r="J43" s="16"/>
      <c r="K43" s="16"/>
      <c r="L43" s="16"/>
      <c r="M43" s="29"/>
    </row>
    <row r="44" ht="15.6" customHeight="1" spans="1:13">
      <c r="A44" s="12"/>
      <c r="B44" s="13"/>
      <c r="C44" s="13"/>
      <c r="D44" s="13"/>
      <c r="E44" s="16"/>
      <c r="F44" s="16"/>
      <c r="G44" s="16"/>
      <c r="H44" s="16"/>
      <c r="I44" s="29"/>
      <c r="J44" s="16"/>
      <c r="K44" s="16"/>
      <c r="L44" s="16"/>
      <c r="M44" s="29"/>
    </row>
    <row r="45" ht="15.6" customHeight="1" spans="1:13">
      <c r="A45" s="12"/>
      <c r="B45" s="13"/>
      <c r="C45" s="13"/>
      <c r="D45" s="13"/>
      <c r="E45" s="16"/>
      <c r="F45" s="16"/>
      <c r="G45" s="16"/>
      <c r="H45" s="16"/>
      <c r="I45" s="29"/>
      <c r="J45" s="16"/>
      <c r="K45" s="16"/>
      <c r="L45" s="16"/>
      <c r="M45" s="29"/>
    </row>
    <row r="46" ht="15.6" customHeight="1" spans="1:13">
      <c r="A46" s="12"/>
      <c r="B46" s="13"/>
      <c r="C46" s="13"/>
      <c r="D46" s="13"/>
      <c r="E46" s="16"/>
      <c r="F46" s="16"/>
      <c r="G46" s="16"/>
      <c r="H46" s="16"/>
      <c r="I46" s="29"/>
      <c r="J46" s="16"/>
      <c r="K46" s="16"/>
      <c r="L46" s="16"/>
      <c r="M46" s="29"/>
    </row>
    <row r="47" ht="15.6" customHeight="1" spans="1:13">
      <c r="A47" s="12"/>
      <c r="B47" s="13"/>
      <c r="C47" s="13"/>
      <c r="D47" s="13"/>
      <c r="E47" s="16"/>
      <c r="F47" s="16"/>
      <c r="G47" s="16"/>
      <c r="H47" s="16"/>
      <c r="I47" s="29"/>
      <c r="J47" s="16"/>
      <c r="K47" s="16"/>
      <c r="L47" s="16"/>
      <c r="M47" s="29"/>
    </row>
    <row r="48" ht="15.6" customHeight="1" spans="1:13">
      <c r="A48" s="12"/>
      <c r="B48" s="13"/>
      <c r="C48" s="13"/>
      <c r="D48" s="13"/>
      <c r="E48" s="16"/>
      <c r="F48" s="16"/>
      <c r="G48" s="16"/>
      <c r="H48" s="16"/>
      <c r="I48" s="29"/>
      <c r="J48" s="16"/>
      <c r="K48" s="16"/>
      <c r="L48" s="16"/>
      <c r="M48" s="29"/>
    </row>
    <row r="49" ht="15.6" customHeight="1" spans="1:13">
      <c r="A49" s="12"/>
      <c r="B49" s="13"/>
      <c r="C49" s="13"/>
      <c r="D49" s="13"/>
      <c r="E49" s="16"/>
      <c r="F49" s="16"/>
      <c r="G49" s="16"/>
      <c r="H49" s="16"/>
      <c r="I49" s="29"/>
      <c r="J49" s="16"/>
      <c r="K49" s="16"/>
      <c r="L49" s="16"/>
      <c r="M49" s="29"/>
    </row>
    <row r="50" ht="15.6" customHeight="1" spans="1:13">
      <c r="A50" s="12"/>
      <c r="B50" s="13"/>
      <c r="C50" s="13"/>
      <c r="D50" s="13"/>
      <c r="E50" s="16"/>
      <c r="F50" s="16"/>
      <c r="G50" s="16"/>
      <c r="H50" s="16"/>
      <c r="I50" s="29"/>
      <c r="J50" s="16"/>
      <c r="K50" s="16"/>
      <c r="L50" s="16"/>
      <c r="M50" s="29"/>
    </row>
    <row r="51" ht="15.6" customHeight="1" spans="1:13">
      <c r="A51" s="12"/>
      <c r="B51" s="13"/>
      <c r="C51" s="13"/>
      <c r="D51" s="13"/>
      <c r="E51" s="16"/>
      <c r="F51" s="16"/>
      <c r="G51" s="16"/>
      <c r="H51" s="16"/>
      <c r="I51" s="29"/>
      <c r="J51" s="16"/>
      <c r="K51" s="16"/>
      <c r="L51" s="16"/>
      <c r="M51" s="29"/>
    </row>
    <row r="52" ht="15.6" customHeight="1" spans="1:13">
      <c r="A52" s="12"/>
      <c r="B52" s="13"/>
      <c r="C52" s="13"/>
      <c r="D52" s="13"/>
      <c r="E52" s="16"/>
      <c r="F52" s="16"/>
      <c r="G52" s="16"/>
      <c r="H52" s="16"/>
      <c r="I52" s="29"/>
      <c r="J52" s="16"/>
      <c r="K52" s="16"/>
      <c r="L52" s="16"/>
      <c r="M52" s="29"/>
    </row>
    <row r="53" ht="15.6" customHeight="1" spans="1:13">
      <c r="A53" s="12"/>
      <c r="B53" s="13"/>
      <c r="C53" s="13"/>
      <c r="D53" s="13"/>
      <c r="E53" s="16"/>
      <c r="F53" s="16"/>
      <c r="G53" s="16"/>
      <c r="H53" s="16"/>
      <c r="I53" s="29"/>
      <c r="J53" s="16"/>
      <c r="K53" s="16"/>
      <c r="L53" s="16"/>
      <c r="M53" s="29"/>
    </row>
    <row r="54" ht="15.6" customHeight="1" spans="1:13">
      <c r="A54" s="12"/>
      <c r="B54" s="13"/>
      <c r="C54" s="13"/>
      <c r="D54" s="13"/>
      <c r="E54" s="16"/>
      <c r="F54" s="16"/>
      <c r="G54" s="16"/>
      <c r="H54" s="16"/>
      <c r="I54" s="29"/>
      <c r="J54" s="16"/>
      <c r="K54" s="16"/>
      <c r="L54" s="16"/>
      <c r="M54" s="29"/>
    </row>
    <row r="55" ht="15.6" customHeight="1" spans="1:13">
      <c r="A55" s="12"/>
      <c r="B55" s="13"/>
      <c r="C55" s="13"/>
      <c r="D55" s="13"/>
      <c r="E55" s="16"/>
      <c r="F55" s="16"/>
      <c r="G55" s="16"/>
      <c r="H55" s="16"/>
      <c r="I55" s="29"/>
      <c r="J55" s="16"/>
      <c r="K55" s="16"/>
      <c r="L55" s="16"/>
      <c r="M55" s="29"/>
    </row>
    <row r="56" ht="15.6" customHeight="1" spans="1:13">
      <c r="A56" s="12"/>
      <c r="B56" s="13"/>
      <c r="C56" s="13"/>
      <c r="D56" s="13"/>
      <c r="E56" s="16"/>
      <c r="F56" s="16"/>
      <c r="G56" s="16"/>
      <c r="H56" s="16"/>
      <c r="I56" s="29"/>
      <c r="J56" s="16"/>
      <c r="K56" s="16"/>
      <c r="L56" s="16"/>
      <c r="M56" s="29"/>
    </row>
    <row r="57" ht="15.6" customHeight="1" spans="1:13">
      <c r="A57" s="12"/>
      <c r="B57" s="13"/>
      <c r="C57" s="13"/>
      <c r="D57" s="13"/>
      <c r="E57" s="16"/>
      <c r="F57" s="16"/>
      <c r="G57" s="16"/>
      <c r="H57" s="16"/>
      <c r="I57" s="29"/>
      <c r="J57" s="16"/>
      <c r="K57" s="16"/>
      <c r="L57" s="16"/>
      <c r="M57" s="29"/>
    </row>
    <row r="58" ht="15.6" customHeight="1" spans="1:13">
      <c r="A58" s="12"/>
      <c r="B58" s="13"/>
      <c r="C58" s="13"/>
      <c r="D58" s="13"/>
      <c r="E58" s="16"/>
      <c r="F58" s="16"/>
      <c r="G58" s="16"/>
      <c r="H58" s="16"/>
      <c r="I58" s="29"/>
      <c r="J58" s="16"/>
      <c r="K58" s="16"/>
      <c r="L58" s="16"/>
      <c r="M58" s="29"/>
    </row>
    <row r="59" ht="15.6" customHeight="1" spans="1:13">
      <c r="A59" s="12"/>
      <c r="B59" s="13"/>
      <c r="C59" s="13"/>
      <c r="D59" s="13"/>
      <c r="E59" s="16"/>
      <c r="F59" s="16"/>
      <c r="G59" s="16"/>
      <c r="H59" s="16"/>
      <c r="I59" s="29"/>
      <c r="J59" s="16"/>
      <c r="K59" s="16"/>
      <c r="L59" s="16"/>
      <c r="M59" s="29"/>
    </row>
    <row r="60" ht="15.6" customHeight="1" spans="1:13">
      <c r="A60" s="12"/>
      <c r="B60" s="13"/>
      <c r="C60" s="13"/>
      <c r="D60" s="13"/>
      <c r="E60" s="16"/>
      <c r="F60" s="16"/>
      <c r="G60" s="16"/>
      <c r="H60" s="16"/>
      <c r="I60" s="29"/>
      <c r="J60" s="16"/>
      <c r="K60" s="16"/>
      <c r="L60" s="16"/>
      <c r="M60" s="29"/>
    </row>
    <row r="61" ht="15.6" customHeight="1" spans="1:13">
      <c r="A61" s="12"/>
      <c r="B61" s="13"/>
      <c r="C61" s="13"/>
      <c r="D61" s="13"/>
      <c r="E61" s="16"/>
      <c r="F61" s="16"/>
      <c r="G61" s="16"/>
      <c r="H61" s="16"/>
      <c r="I61" s="29"/>
      <c r="J61" s="16"/>
      <c r="K61" s="16"/>
      <c r="L61" s="16"/>
      <c r="M61" s="29"/>
    </row>
    <row r="62" ht="15.6" customHeight="1" spans="1:13">
      <c r="A62" s="12"/>
      <c r="B62" s="13"/>
      <c r="C62" s="13"/>
      <c r="D62" s="13"/>
      <c r="E62" s="16"/>
      <c r="F62" s="16"/>
      <c r="G62" s="16"/>
      <c r="H62" s="16"/>
      <c r="I62" s="29"/>
      <c r="J62" s="16"/>
      <c r="K62" s="16"/>
      <c r="L62" s="16"/>
      <c r="M62" s="29"/>
    </row>
    <row r="63" ht="15.6" customHeight="1" spans="1:13">
      <c r="A63" s="12"/>
      <c r="B63" s="13"/>
      <c r="C63" s="13"/>
      <c r="D63" s="13"/>
      <c r="E63" s="16"/>
      <c r="F63" s="16"/>
      <c r="G63" s="16"/>
      <c r="H63" s="16"/>
      <c r="I63" s="29"/>
      <c r="J63" s="16"/>
      <c r="K63" s="16"/>
      <c r="L63" s="16"/>
      <c r="M63" s="29"/>
    </row>
    <row r="64" ht="15.6" customHeight="1" spans="1:13">
      <c r="A64" s="12"/>
      <c r="B64" s="13"/>
      <c r="C64" s="13"/>
      <c r="D64" s="13"/>
      <c r="E64" s="16"/>
      <c r="F64" s="16"/>
      <c r="G64" s="16"/>
      <c r="H64" s="16"/>
      <c r="I64" s="29"/>
      <c r="J64" s="16"/>
      <c r="K64" s="16"/>
      <c r="L64" s="16"/>
      <c r="M64" s="29"/>
    </row>
    <row r="65" ht="15.6" customHeight="1" spans="1:13">
      <c r="A65" s="12"/>
      <c r="B65" s="13"/>
      <c r="C65" s="13"/>
      <c r="D65" s="13"/>
      <c r="E65" s="16"/>
      <c r="F65" s="16"/>
      <c r="G65" s="16"/>
      <c r="H65" s="16"/>
      <c r="I65" s="29"/>
      <c r="J65" s="16"/>
      <c r="K65" s="16"/>
      <c r="L65" s="16"/>
      <c r="M65" s="29"/>
    </row>
    <row r="66" ht="15.6" customHeight="1" spans="1:13">
      <c r="A66" s="12"/>
      <c r="B66" s="13"/>
      <c r="C66" s="13"/>
      <c r="D66" s="13"/>
      <c r="E66" s="16"/>
      <c r="F66" s="16"/>
      <c r="G66" s="16"/>
      <c r="H66" s="16"/>
      <c r="I66" s="29"/>
      <c r="J66" s="16"/>
      <c r="K66" s="16"/>
      <c r="L66" s="16"/>
      <c r="M66" s="29"/>
    </row>
    <row r="67" ht="15.6" customHeight="1" spans="1:13">
      <c r="A67" s="12"/>
      <c r="B67" s="13"/>
      <c r="C67" s="13"/>
      <c r="D67" s="13"/>
      <c r="E67" s="16"/>
      <c r="F67" s="16"/>
      <c r="G67" s="16"/>
      <c r="H67" s="16"/>
      <c r="I67" s="29"/>
      <c r="J67" s="16"/>
      <c r="K67" s="16"/>
      <c r="L67" s="16"/>
      <c r="M67" s="29"/>
    </row>
    <row r="68" ht="15.6" customHeight="1" spans="1:13">
      <c r="A68" s="12"/>
      <c r="B68" s="13"/>
      <c r="C68" s="13"/>
      <c r="D68" s="13"/>
      <c r="E68" s="16"/>
      <c r="F68" s="16"/>
      <c r="G68" s="16"/>
      <c r="H68" s="16"/>
      <c r="I68" s="29"/>
      <c r="J68" s="16"/>
      <c r="K68" s="16"/>
      <c r="L68" s="16"/>
      <c r="M68" s="29"/>
    </row>
    <row r="69" ht="15.6" customHeight="1" spans="1:13">
      <c r="A69" s="12"/>
      <c r="B69" s="13"/>
      <c r="C69" s="13"/>
      <c r="D69" s="13"/>
      <c r="E69" s="16"/>
      <c r="F69" s="16"/>
      <c r="G69" s="16"/>
      <c r="H69" s="16"/>
      <c r="I69" s="29"/>
      <c r="J69" s="16"/>
      <c r="K69" s="16"/>
      <c r="L69" s="16"/>
      <c r="M69" s="29"/>
    </row>
    <row r="70" ht="15.6" customHeight="1" spans="1:13">
      <c r="A70" s="12"/>
      <c r="B70" s="13"/>
      <c r="C70" s="13"/>
      <c r="D70" s="13"/>
      <c r="E70" s="16"/>
      <c r="F70" s="16"/>
      <c r="G70" s="16"/>
      <c r="H70" s="16"/>
      <c r="I70" s="29"/>
      <c r="J70" s="16"/>
      <c r="K70" s="16"/>
      <c r="L70" s="16"/>
      <c r="M70" s="29"/>
    </row>
    <row r="71" ht="15.6" customHeight="1" spans="1:13">
      <c r="A71" s="12"/>
      <c r="B71" s="13"/>
      <c r="C71" s="13"/>
      <c r="D71" s="13"/>
      <c r="E71" s="16"/>
      <c r="F71" s="16"/>
      <c r="G71" s="16"/>
      <c r="H71" s="16"/>
      <c r="I71" s="29"/>
      <c r="J71" s="16"/>
      <c r="K71" s="16"/>
      <c r="L71" s="16"/>
      <c r="M71" s="29"/>
    </row>
    <row r="72" ht="15.6" customHeight="1" spans="1:13">
      <c r="A72" s="12"/>
      <c r="B72" s="13"/>
      <c r="C72" s="13"/>
      <c r="D72" s="13"/>
      <c r="E72" s="16"/>
      <c r="F72" s="16"/>
      <c r="G72" s="16"/>
      <c r="H72" s="16"/>
      <c r="I72" s="29"/>
      <c r="J72" s="16"/>
      <c r="K72" s="16"/>
      <c r="L72" s="16"/>
      <c r="M72" s="29"/>
    </row>
    <row r="73" ht="15.6" customHeight="1" spans="1:13">
      <c r="A73" s="12"/>
      <c r="B73" s="13"/>
      <c r="C73" s="13"/>
      <c r="D73" s="13"/>
      <c r="E73" s="16"/>
      <c r="F73" s="16"/>
      <c r="G73" s="16"/>
      <c r="H73" s="16"/>
      <c r="I73" s="29"/>
      <c r="J73" s="16"/>
      <c r="K73" s="16"/>
      <c r="L73" s="16"/>
      <c r="M73" s="29"/>
    </row>
    <row r="74" ht="15.6" customHeight="1" spans="1:13">
      <c r="A74" s="12"/>
      <c r="B74" s="13"/>
      <c r="C74" s="13"/>
      <c r="D74" s="13"/>
      <c r="E74" s="16"/>
      <c r="F74" s="16"/>
      <c r="G74" s="16"/>
      <c r="H74" s="16"/>
      <c r="I74" s="29"/>
      <c r="J74" s="16"/>
      <c r="K74" s="16"/>
      <c r="L74" s="16"/>
      <c r="M74" s="29"/>
    </row>
    <row r="75" ht="15.6" customHeight="1" spans="1:13">
      <c r="A75" s="12"/>
      <c r="B75" s="13"/>
      <c r="C75" s="13"/>
      <c r="D75" s="13"/>
      <c r="E75" s="16"/>
      <c r="F75" s="16"/>
      <c r="G75" s="16"/>
      <c r="H75" s="16"/>
      <c r="I75" s="29"/>
      <c r="J75" s="16"/>
      <c r="K75" s="16"/>
      <c r="L75" s="16"/>
      <c r="M75" s="29"/>
    </row>
    <row r="76" ht="15.6" customHeight="1" spans="1:13">
      <c r="A76" s="12"/>
      <c r="B76" s="13"/>
      <c r="C76" s="13"/>
      <c r="D76" s="13"/>
      <c r="E76" s="16"/>
      <c r="F76" s="16"/>
      <c r="G76" s="16"/>
      <c r="H76" s="16"/>
      <c r="I76" s="29"/>
      <c r="J76" s="16"/>
      <c r="K76" s="16"/>
      <c r="L76" s="16"/>
      <c r="M76" s="29"/>
    </row>
    <row r="77" ht="15.6" customHeight="1" spans="1:13">
      <c r="A77" s="12"/>
      <c r="B77" s="13"/>
      <c r="C77" s="13"/>
      <c r="D77" s="13"/>
      <c r="E77" s="16"/>
      <c r="F77" s="16"/>
      <c r="G77" s="16"/>
      <c r="H77" s="16"/>
      <c r="I77" s="29"/>
      <c r="J77" s="16"/>
      <c r="K77" s="16"/>
      <c r="L77" s="16"/>
      <c r="M77" s="29"/>
    </row>
    <row r="78" ht="15.6" customHeight="1" spans="1:13">
      <c r="A78" s="12"/>
      <c r="B78" s="13"/>
      <c r="C78" s="13"/>
      <c r="D78" s="13"/>
      <c r="E78" s="16"/>
      <c r="F78" s="16"/>
      <c r="G78" s="16"/>
      <c r="H78" s="16"/>
      <c r="I78" s="29"/>
      <c r="J78" s="16"/>
      <c r="K78" s="16"/>
      <c r="L78" s="16"/>
      <c r="M78" s="29"/>
    </row>
    <row r="79" ht="15.6" customHeight="1" spans="1:13">
      <c r="A79" s="12"/>
      <c r="B79" s="13"/>
      <c r="C79" s="13"/>
      <c r="D79" s="13"/>
      <c r="E79" s="16"/>
      <c r="F79" s="16"/>
      <c r="G79" s="16"/>
      <c r="H79" s="16"/>
      <c r="I79" s="29"/>
      <c r="J79" s="16"/>
      <c r="K79" s="16"/>
      <c r="L79" s="16"/>
      <c r="M79" s="29"/>
    </row>
    <row r="80" ht="15.6" customHeight="1" spans="1:13">
      <c r="A80" s="12"/>
      <c r="B80" s="13"/>
      <c r="C80" s="13"/>
      <c r="D80" s="13"/>
      <c r="E80" s="16"/>
      <c r="F80" s="16"/>
      <c r="G80" s="16"/>
      <c r="H80" s="16"/>
      <c r="I80" s="29"/>
      <c r="J80" s="16"/>
      <c r="K80" s="16"/>
      <c r="L80" s="16"/>
      <c r="M80" s="29"/>
    </row>
    <row r="81" ht="15.6" customHeight="1" spans="1:13">
      <c r="A81" s="12"/>
      <c r="B81" s="13"/>
      <c r="C81" s="13"/>
      <c r="D81" s="13"/>
      <c r="E81" s="16"/>
      <c r="F81" s="16"/>
      <c r="G81" s="16"/>
      <c r="H81" s="16"/>
      <c r="I81" s="29"/>
      <c r="J81" s="16"/>
      <c r="K81" s="16"/>
      <c r="L81" s="16"/>
      <c r="M81" s="29"/>
    </row>
    <row r="82" ht="15.6" customHeight="1" spans="1:13">
      <c r="A82" s="12"/>
      <c r="B82" s="13"/>
      <c r="C82" s="13"/>
      <c r="D82" s="13"/>
      <c r="E82" s="16"/>
      <c r="F82" s="16"/>
      <c r="G82" s="16"/>
      <c r="H82" s="16"/>
      <c r="I82" s="29"/>
      <c r="J82" s="16"/>
      <c r="K82" s="16"/>
      <c r="L82" s="16"/>
      <c r="M82" s="29"/>
    </row>
    <row r="83" ht="15.6" customHeight="1" spans="1:13">
      <c r="A83" s="12"/>
      <c r="B83" s="13"/>
      <c r="C83" s="13"/>
      <c r="D83" s="13"/>
      <c r="E83" s="16"/>
      <c r="F83" s="16"/>
      <c r="G83" s="16"/>
      <c r="H83" s="16"/>
      <c r="I83" s="29"/>
      <c r="J83" s="16"/>
      <c r="K83" s="16"/>
      <c r="L83" s="16"/>
      <c r="M83" s="29"/>
    </row>
    <row r="84" ht="15.6" customHeight="1" spans="1:13">
      <c r="A84" s="12"/>
      <c r="B84" s="13"/>
      <c r="C84" s="13"/>
      <c r="D84" s="13"/>
      <c r="E84" s="16"/>
      <c r="F84" s="16"/>
      <c r="G84" s="16"/>
      <c r="H84" s="16"/>
      <c r="I84" s="29"/>
      <c r="J84" s="16"/>
      <c r="K84" s="16"/>
      <c r="L84" s="16"/>
      <c r="M84" s="29"/>
    </row>
    <row r="85" ht="15.6" customHeight="1" spans="1:13">
      <c r="A85" s="12"/>
      <c r="B85" s="13"/>
      <c r="C85" s="13"/>
      <c r="D85" s="13"/>
      <c r="E85" s="16"/>
      <c r="F85" s="16"/>
      <c r="G85" s="16"/>
      <c r="H85" s="16"/>
      <c r="I85" s="29"/>
      <c r="J85" s="16"/>
      <c r="K85" s="16"/>
      <c r="L85" s="16"/>
      <c r="M85" s="29"/>
    </row>
    <row r="86" ht="15.6" customHeight="1" spans="1:13">
      <c r="A86" s="12"/>
      <c r="B86" s="13"/>
      <c r="C86" s="13"/>
      <c r="D86" s="13"/>
      <c r="E86" s="16"/>
      <c r="F86" s="16"/>
      <c r="G86" s="16"/>
      <c r="H86" s="16"/>
      <c r="I86" s="29"/>
      <c r="J86" s="16"/>
      <c r="K86" s="16"/>
      <c r="L86" s="16"/>
      <c r="M86" s="29"/>
    </row>
    <row r="87" ht="15.6" customHeight="1" spans="1:13">
      <c r="A87" s="12"/>
      <c r="B87" s="13"/>
      <c r="C87" s="13"/>
      <c r="D87" s="13"/>
      <c r="E87" s="16"/>
      <c r="F87" s="16"/>
      <c r="G87" s="16"/>
      <c r="H87" s="16"/>
      <c r="I87" s="29"/>
      <c r="J87" s="16"/>
      <c r="K87" s="16"/>
      <c r="L87" s="16"/>
      <c r="M87" s="29"/>
    </row>
    <row r="88" ht="15.6" customHeight="1" spans="1:13">
      <c r="A88" s="12"/>
      <c r="B88" s="13"/>
      <c r="C88" s="13"/>
      <c r="D88" s="13"/>
      <c r="E88" s="16"/>
      <c r="F88" s="16"/>
      <c r="G88" s="16"/>
      <c r="H88" s="16"/>
      <c r="I88" s="29"/>
      <c r="J88" s="16"/>
      <c r="K88" s="16"/>
      <c r="L88" s="16"/>
      <c r="M88" s="29"/>
    </row>
    <row r="89" ht="15.6" customHeight="1" spans="1:13">
      <c r="A89" s="12"/>
      <c r="B89" s="13"/>
      <c r="C89" s="13"/>
      <c r="D89" s="13"/>
      <c r="E89" s="16"/>
      <c r="F89" s="16"/>
      <c r="G89" s="16"/>
      <c r="H89" s="16"/>
      <c r="I89" s="29"/>
      <c r="J89" s="16"/>
      <c r="K89" s="16"/>
      <c r="L89" s="16"/>
      <c r="M89" s="29"/>
    </row>
    <row r="90" ht="15.6" customHeight="1" spans="1:13">
      <c r="A90" s="12"/>
      <c r="B90" s="13"/>
      <c r="C90" s="13"/>
      <c r="D90" s="13"/>
      <c r="E90" s="16"/>
      <c r="F90" s="16"/>
      <c r="G90" s="16"/>
      <c r="H90" s="16"/>
      <c r="I90" s="29"/>
      <c r="J90" s="16"/>
      <c r="K90" s="16"/>
      <c r="L90" s="16"/>
      <c r="M90" s="29"/>
    </row>
    <row r="91" ht="15.6" customHeight="1" spans="1:13">
      <c r="A91" s="12"/>
      <c r="B91" s="13"/>
      <c r="C91" s="13"/>
      <c r="D91" s="13"/>
      <c r="E91" s="16"/>
      <c r="F91" s="16"/>
      <c r="G91" s="16"/>
      <c r="H91" s="16"/>
      <c r="I91" s="29"/>
      <c r="J91" s="16"/>
      <c r="K91" s="16"/>
      <c r="L91" s="16"/>
      <c r="M91" s="29"/>
    </row>
    <row r="92" ht="15.6" customHeight="1" spans="1:13">
      <c r="A92" s="12"/>
      <c r="B92" s="13"/>
      <c r="C92" s="13"/>
      <c r="D92" s="13"/>
      <c r="E92" s="16"/>
      <c r="F92" s="16"/>
      <c r="G92" s="16"/>
      <c r="H92" s="16"/>
      <c r="I92" s="29"/>
      <c r="J92" s="16"/>
      <c r="K92" s="16"/>
      <c r="L92" s="16"/>
      <c r="M92" s="29"/>
    </row>
    <row r="93" ht="15.6" customHeight="1" spans="1:13">
      <c r="A93" s="12"/>
      <c r="B93" s="13"/>
      <c r="C93" s="13"/>
      <c r="D93" s="13"/>
      <c r="E93" s="16"/>
      <c r="F93" s="16"/>
      <c r="G93" s="16"/>
      <c r="H93" s="16"/>
      <c r="I93" s="29"/>
      <c r="J93" s="16"/>
      <c r="K93" s="16"/>
      <c r="L93" s="16"/>
      <c r="M93" s="29"/>
    </row>
    <row r="94" ht="15.6" customHeight="1" spans="1:13">
      <c r="A94" s="12"/>
      <c r="B94" s="13"/>
      <c r="C94" s="13"/>
      <c r="D94" s="13"/>
      <c r="E94" s="16"/>
      <c r="F94" s="16"/>
      <c r="G94" s="16"/>
      <c r="H94" s="16"/>
      <c r="I94" s="29"/>
      <c r="J94" s="16"/>
      <c r="K94" s="16"/>
      <c r="L94" s="16"/>
      <c r="M94" s="29"/>
    </row>
    <row r="95" ht="15.6" customHeight="1" spans="1:13">
      <c r="A95" s="12"/>
      <c r="B95" s="13"/>
      <c r="C95" s="13"/>
      <c r="D95" s="13"/>
      <c r="E95" s="16"/>
      <c r="F95" s="16"/>
      <c r="G95" s="16"/>
      <c r="H95" s="16"/>
      <c r="I95" s="29"/>
      <c r="J95" s="16"/>
      <c r="K95" s="16"/>
      <c r="L95" s="16"/>
      <c r="M95" s="29"/>
    </row>
    <row r="96" ht="15.6" customHeight="1" spans="1:13">
      <c r="A96" s="12"/>
      <c r="B96" s="13"/>
      <c r="C96" s="13"/>
      <c r="D96" s="13"/>
      <c r="E96" s="16"/>
      <c r="F96" s="16"/>
      <c r="G96" s="16"/>
      <c r="H96" s="16"/>
      <c r="I96" s="29"/>
      <c r="J96" s="16"/>
      <c r="K96" s="16"/>
      <c r="L96" s="16"/>
      <c r="M96" s="29"/>
    </row>
    <row r="97" ht="15.6" customHeight="1" spans="1:13">
      <c r="A97" s="12"/>
      <c r="B97" s="13"/>
      <c r="C97" s="13"/>
      <c r="D97" s="13"/>
      <c r="E97" s="16"/>
      <c r="F97" s="16"/>
      <c r="G97" s="16"/>
      <c r="H97" s="16"/>
      <c r="I97" s="29"/>
      <c r="J97" s="16"/>
      <c r="K97" s="16"/>
      <c r="L97" s="16"/>
      <c r="M97" s="29"/>
    </row>
    <row r="98" ht="15.6" customHeight="1" spans="1:13">
      <c r="A98" s="12"/>
      <c r="B98" s="13"/>
      <c r="C98" s="13"/>
      <c r="D98" s="13"/>
      <c r="E98" s="16"/>
      <c r="F98" s="16"/>
      <c r="G98" s="16"/>
      <c r="H98" s="16"/>
      <c r="I98" s="29"/>
      <c r="J98" s="16"/>
      <c r="K98" s="16"/>
      <c r="L98" s="16"/>
      <c r="M98" s="29"/>
    </row>
    <row r="99" ht="15.6" customHeight="1" spans="1:13">
      <c r="A99" s="12"/>
      <c r="B99" s="13"/>
      <c r="C99" s="13"/>
      <c r="D99" s="13"/>
      <c r="E99" s="16"/>
      <c r="F99" s="16"/>
      <c r="G99" s="16"/>
      <c r="H99" s="16"/>
      <c r="I99" s="29"/>
      <c r="J99" s="16"/>
      <c r="K99" s="16"/>
      <c r="L99" s="16"/>
      <c r="M99" s="29"/>
    </row>
    <row r="100" ht="15.6" customHeight="1" spans="1:13">
      <c r="A100" s="12"/>
      <c r="B100" s="13"/>
      <c r="C100" s="13"/>
      <c r="D100" s="13"/>
      <c r="E100" s="16"/>
      <c r="F100" s="16"/>
      <c r="G100" s="16"/>
      <c r="H100" s="16"/>
      <c r="I100" s="29"/>
      <c r="J100" s="16"/>
      <c r="K100" s="16"/>
      <c r="L100" s="16"/>
      <c r="M100" s="29"/>
    </row>
  </sheetData>
  <mergeCells count="4">
    <mergeCell ref="A1:B1"/>
    <mergeCell ref="C1:E1"/>
    <mergeCell ref="F1:I1"/>
    <mergeCell ref="J1:K1"/>
  </mergeCells>
  <conditionalFormatting sqref="A3:E100 J3:M100">
    <cfRule type="expression" dxfId="0" priority="2">
      <formula>MOD(ROW(),2)=0</formula>
    </cfRule>
  </conditionalFormatting>
  <conditionalFormatting sqref="F3:I100">
    <cfRule type="expression" dxfId="0" priority="1">
      <formula>MOD(ROW(),2)=0</formula>
    </cfRule>
  </conditionalFormatting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X100"/>
  <sheetViews>
    <sheetView workbookViewId="0">
      <pane ySplit="2" topLeftCell="A3" activePane="bottomLeft" state="frozen"/>
      <selection/>
      <selection pane="bottomLeft" activeCell="S16" sqref="S16"/>
    </sheetView>
  </sheetViews>
  <sheetFormatPr defaultColWidth="9" defaultRowHeight="14.4"/>
  <cols>
    <col min="1" max="1" width="17.6666666666667" customWidth="1"/>
    <col min="3" max="3" width="24.2222222222222" customWidth="1"/>
    <col min="14" max="14" width="9.44444444444444"/>
  </cols>
  <sheetData>
    <row r="1" ht="31.2" customHeight="1" spans="1:24">
      <c r="A1" s="1" t="s">
        <v>0</v>
      </c>
      <c r="B1" s="2"/>
      <c r="C1" s="35" t="s">
        <v>1</v>
      </c>
      <c r="D1" s="7"/>
      <c r="E1" s="2"/>
      <c r="F1" s="6" t="s">
        <v>2</v>
      </c>
      <c r="G1" s="7"/>
      <c r="H1" s="7"/>
      <c r="I1" s="2"/>
      <c r="J1" s="17" t="s">
        <v>3</v>
      </c>
      <c r="K1" s="2"/>
      <c r="L1" s="18" t="s">
        <v>4</v>
      </c>
      <c r="M1" s="37" t="s">
        <v>5</v>
      </c>
      <c r="N1" s="19" t="s">
        <v>1540</v>
      </c>
      <c r="O1" s="20" t="s">
        <v>6</v>
      </c>
      <c r="P1" s="21" t="s">
        <v>7</v>
      </c>
      <c r="Q1" s="21" t="s">
        <v>8</v>
      </c>
      <c r="R1" s="21" t="s">
        <v>9</v>
      </c>
      <c r="S1" s="30" t="s">
        <v>10</v>
      </c>
      <c r="T1" s="31" t="s">
        <v>11</v>
      </c>
      <c r="U1" s="32" t="s">
        <v>12</v>
      </c>
      <c r="V1" s="32" t="s">
        <v>13</v>
      </c>
      <c r="W1" s="32" t="s">
        <v>14</v>
      </c>
      <c r="X1" s="33" t="s">
        <v>15</v>
      </c>
    </row>
    <row r="2" ht="47.55" customHeight="1" spans="1:24">
      <c r="A2" s="8" t="s">
        <v>16</v>
      </c>
      <c r="B2" s="9" t="s">
        <v>17</v>
      </c>
      <c r="C2" s="10" t="s">
        <v>18</v>
      </c>
      <c r="D2" s="10" t="s">
        <v>19</v>
      </c>
      <c r="E2" s="10" t="s">
        <v>20</v>
      </c>
      <c r="F2" s="11" t="s">
        <v>21</v>
      </c>
      <c r="G2" s="11" t="s">
        <v>22</v>
      </c>
      <c r="H2" s="11" t="s">
        <v>23</v>
      </c>
      <c r="I2" s="11" t="s">
        <v>24</v>
      </c>
      <c r="J2" s="38" t="s">
        <v>25</v>
      </c>
      <c r="K2" s="38" t="s">
        <v>26</v>
      </c>
      <c r="L2" s="39" t="s">
        <v>27</v>
      </c>
      <c r="M2" s="40" t="s">
        <v>28</v>
      </c>
      <c r="N2" s="41" t="s">
        <v>1541</v>
      </c>
      <c r="O2" s="25">
        <f>QUARTILE(G3:G200,4)</f>
        <v>0.0751</v>
      </c>
      <c r="P2" s="26">
        <f>QUARTILE(G3:G200,3)</f>
        <v>0.008925</v>
      </c>
      <c r="Q2" s="26">
        <f>QUARTILE(G3:G200,2)</f>
        <v>0.00305</v>
      </c>
      <c r="R2" s="26">
        <f>QUARTILE(G3:G200,1)</f>
        <v>-0.0043</v>
      </c>
      <c r="S2" s="34">
        <f>QUARTILE(G3:G200,0)</f>
        <v>-0.0821</v>
      </c>
      <c r="T2" s="25">
        <f>QUARTILE(I3:I200,4)</f>
        <v>0.24</v>
      </c>
      <c r="U2" s="26">
        <f>QUARTILE(I3:I200,3)</f>
        <v>0.10725</v>
      </c>
      <c r="V2" s="26">
        <f>QUARTILE(I3:I200,2)</f>
        <v>0.07215</v>
      </c>
      <c r="W2" s="26">
        <f>QUARTILE(I3:I200,1)</f>
        <v>0.051</v>
      </c>
      <c r="X2" s="34">
        <f>QUARTILE(I3:I200,0)</f>
        <v>-0.0572</v>
      </c>
    </row>
    <row r="3" ht="15.6" customHeight="1" spans="1:14">
      <c r="A3" s="36" t="s">
        <v>843</v>
      </c>
      <c r="B3" s="14" t="s">
        <v>61</v>
      </c>
      <c r="C3" s="14" t="s">
        <v>1542</v>
      </c>
      <c r="D3" s="14" t="s">
        <v>1543</v>
      </c>
      <c r="E3" s="15" t="s">
        <v>1544</v>
      </c>
      <c r="F3" s="15">
        <v>0.0687</v>
      </c>
      <c r="G3" s="15">
        <v>-0.055</v>
      </c>
      <c r="H3" s="15">
        <v>0.0004</v>
      </c>
      <c r="I3" s="42">
        <v>0.144</v>
      </c>
      <c r="J3" s="43">
        <v>0.1888</v>
      </c>
      <c r="K3" s="44">
        <v>0.1888</v>
      </c>
      <c r="L3" s="44">
        <v>0.2445</v>
      </c>
      <c r="M3" s="45">
        <v>0.507</v>
      </c>
      <c r="N3" s="46">
        <v>0.7624</v>
      </c>
    </row>
    <row r="4" ht="15.6" customHeight="1" spans="1:14">
      <c r="A4" s="12" t="s">
        <v>983</v>
      </c>
      <c r="B4" s="13" t="s">
        <v>54</v>
      </c>
      <c r="C4" s="13" t="s">
        <v>1545</v>
      </c>
      <c r="D4" s="13" t="s">
        <v>1546</v>
      </c>
      <c r="E4" s="16" t="s">
        <v>1547</v>
      </c>
      <c r="F4" s="16">
        <v>0.0272</v>
      </c>
      <c r="G4" s="16">
        <v>0.0299</v>
      </c>
      <c r="H4" s="16"/>
      <c r="I4" s="47">
        <v>0.0975</v>
      </c>
      <c r="J4" s="48"/>
      <c r="K4" s="16">
        <v>0.0072</v>
      </c>
      <c r="L4" s="16">
        <v>0.0419</v>
      </c>
      <c r="M4" s="13">
        <v>1.8495</v>
      </c>
      <c r="N4" s="49"/>
    </row>
    <row r="5" ht="15.6" customHeight="1" spans="1:14">
      <c r="A5" s="12" t="s">
        <v>1446</v>
      </c>
      <c r="B5" s="13" t="s">
        <v>54</v>
      </c>
      <c r="C5" s="13" t="s">
        <v>1548</v>
      </c>
      <c r="D5" s="13" t="s">
        <v>1549</v>
      </c>
      <c r="E5" s="16" t="s">
        <v>675</v>
      </c>
      <c r="F5" s="16">
        <v>0.0246</v>
      </c>
      <c r="G5" s="16">
        <v>0.0343</v>
      </c>
      <c r="H5" s="16">
        <v>0.0644</v>
      </c>
      <c r="I5" s="47">
        <v>0.0912</v>
      </c>
      <c r="J5" s="48">
        <v>0.0094</v>
      </c>
      <c r="K5" s="16">
        <v>0.0164</v>
      </c>
      <c r="L5" s="16">
        <v>0.0317</v>
      </c>
      <c r="M5" s="13">
        <v>2.2467</v>
      </c>
      <c r="N5" s="50">
        <v>5.5459</v>
      </c>
    </row>
    <row r="6" ht="15.6" customHeight="1" spans="1:14">
      <c r="A6" s="12" t="s">
        <v>1550</v>
      </c>
      <c r="B6" s="13" t="s">
        <v>38</v>
      </c>
      <c r="C6" s="13" t="s">
        <v>1551</v>
      </c>
      <c r="D6" s="13" t="s">
        <v>1552</v>
      </c>
      <c r="E6" s="16" t="s">
        <v>1553</v>
      </c>
      <c r="F6" s="16">
        <v>0.0159</v>
      </c>
      <c r="G6" s="16">
        <v>0.044</v>
      </c>
      <c r="H6" s="16">
        <v>-0.001</v>
      </c>
      <c r="I6" s="47">
        <v>0.1106</v>
      </c>
      <c r="J6" s="48">
        <v>0.1561</v>
      </c>
      <c r="K6" s="16">
        <v>0.1734</v>
      </c>
      <c r="L6" s="16">
        <v>0.0976</v>
      </c>
      <c r="M6" s="13">
        <v>0.9278</v>
      </c>
      <c r="N6" s="50">
        <v>0.6376</v>
      </c>
    </row>
    <row r="7" ht="15.6" customHeight="1" spans="1:14">
      <c r="A7" s="12" t="s">
        <v>1554</v>
      </c>
      <c r="B7" s="13" t="s">
        <v>30</v>
      </c>
      <c r="C7" s="13" t="s">
        <v>1555</v>
      </c>
      <c r="D7" s="13" t="s">
        <v>1543</v>
      </c>
      <c r="E7" s="16" t="s">
        <v>318</v>
      </c>
      <c r="F7" s="16">
        <v>0.0099</v>
      </c>
      <c r="G7" s="16">
        <v>0.016</v>
      </c>
      <c r="H7" s="16">
        <v>0.0302</v>
      </c>
      <c r="I7" s="47">
        <v>0.0487</v>
      </c>
      <c r="J7" s="48">
        <v>0.0111</v>
      </c>
      <c r="K7" s="16">
        <v>0.0121</v>
      </c>
      <c r="L7" s="16">
        <v>0.0247</v>
      </c>
      <c r="M7" s="13">
        <v>1.1617</v>
      </c>
      <c r="N7" s="50">
        <v>4.0171</v>
      </c>
    </row>
    <row r="8" ht="15.6" customHeight="1" spans="1:14">
      <c r="A8" s="12" t="s">
        <v>1556</v>
      </c>
      <c r="B8" s="13" t="s">
        <v>30</v>
      </c>
      <c r="C8" s="13" t="s">
        <v>1557</v>
      </c>
      <c r="D8" s="13" t="s">
        <v>1558</v>
      </c>
      <c r="E8" s="16" t="s">
        <v>1559</v>
      </c>
      <c r="F8" s="16">
        <v>0.0099</v>
      </c>
      <c r="G8" s="16">
        <v>-0.0055</v>
      </c>
      <c r="H8" s="16">
        <v>-0.0012</v>
      </c>
      <c r="I8" s="47">
        <v>0.0534</v>
      </c>
      <c r="J8" s="48">
        <v>0.0448</v>
      </c>
      <c r="K8" s="16">
        <v>0.0448</v>
      </c>
      <c r="L8" s="16">
        <v>0.0332</v>
      </c>
      <c r="M8" s="13">
        <v>1.0051</v>
      </c>
      <c r="N8" s="50">
        <v>1.1932</v>
      </c>
    </row>
    <row r="9" ht="15.6" customHeight="1" spans="1:14">
      <c r="A9" s="12" t="s">
        <v>1560</v>
      </c>
      <c r="B9" s="13" t="s">
        <v>38</v>
      </c>
      <c r="C9" s="13" t="s">
        <v>1561</v>
      </c>
      <c r="D9" s="13" t="s">
        <v>1543</v>
      </c>
      <c r="E9" s="16" t="s">
        <v>1122</v>
      </c>
      <c r="F9" s="16">
        <v>0.0095</v>
      </c>
      <c r="G9" s="16">
        <v>0.0025</v>
      </c>
      <c r="H9" s="16">
        <v>0.0097</v>
      </c>
      <c r="I9" s="47">
        <v>0.1375</v>
      </c>
      <c r="J9" s="48">
        <v>0.0381</v>
      </c>
      <c r="K9" s="16">
        <v>0.051</v>
      </c>
      <c r="L9" s="16">
        <v>0.0699</v>
      </c>
      <c r="M9" s="13">
        <v>1.6817</v>
      </c>
      <c r="N9" s="50">
        <v>2.6963</v>
      </c>
    </row>
    <row r="10" ht="15.6" customHeight="1" spans="1:14">
      <c r="A10" s="12" t="s">
        <v>1562</v>
      </c>
      <c r="B10" s="13" t="s">
        <v>38</v>
      </c>
      <c r="C10" s="13" t="s">
        <v>1563</v>
      </c>
      <c r="D10" s="13" t="s">
        <v>1552</v>
      </c>
      <c r="E10" s="16" t="s">
        <v>1564</v>
      </c>
      <c r="F10" s="16">
        <v>0.0083</v>
      </c>
      <c r="G10" s="16">
        <v>0.01</v>
      </c>
      <c r="H10" s="16">
        <v>0.0354</v>
      </c>
      <c r="I10" s="47">
        <v>0.0461</v>
      </c>
      <c r="J10" s="48">
        <v>0.0046</v>
      </c>
      <c r="K10" s="16">
        <v>0.0244</v>
      </c>
      <c r="L10" s="16">
        <v>0.0289</v>
      </c>
      <c r="M10" s="13">
        <v>0.9035</v>
      </c>
      <c r="N10" s="50">
        <v>1.8894</v>
      </c>
    </row>
    <row r="11" ht="15.6" customHeight="1" spans="1:14">
      <c r="A11" s="12" t="s">
        <v>1486</v>
      </c>
      <c r="B11" s="13" t="s">
        <v>38</v>
      </c>
      <c r="C11" s="13" t="s">
        <v>1565</v>
      </c>
      <c r="D11" s="13" t="s">
        <v>1552</v>
      </c>
      <c r="E11" s="16" t="s">
        <v>820</v>
      </c>
      <c r="F11" s="16">
        <v>0.0081</v>
      </c>
      <c r="G11" s="16">
        <v>0.0105</v>
      </c>
      <c r="H11" s="16">
        <v>0.0858</v>
      </c>
      <c r="I11" s="47">
        <v>0.0951</v>
      </c>
      <c r="J11" s="48">
        <v>0.0312</v>
      </c>
      <c r="K11" s="16">
        <v>0.0312</v>
      </c>
      <c r="L11" s="16">
        <v>0.0637</v>
      </c>
      <c r="M11" s="13">
        <v>1.1797</v>
      </c>
      <c r="N11" s="50">
        <v>3.0481</v>
      </c>
    </row>
    <row r="12" ht="15.6" customHeight="1" spans="1:14">
      <c r="A12" s="12" t="s">
        <v>1566</v>
      </c>
      <c r="B12" s="13" t="s">
        <v>54</v>
      </c>
      <c r="C12" s="13" t="s">
        <v>1567</v>
      </c>
      <c r="D12" s="13" t="s">
        <v>1546</v>
      </c>
      <c r="E12" s="16" t="s">
        <v>1568</v>
      </c>
      <c r="F12" s="16">
        <v>0.0075</v>
      </c>
      <c r="G12" s="16"/>
      <c r="H12" s="16">
        <v>-0.0398</v>
      </c>
      <c r="I12" s="47">
        <v>0.0183</v>
      </c>
      <c r="J12" s="48">
        <v>0.0531</v>
      </c>
      <c r="K12" s="16">
        <v>0.0671</v>
      </c>
      <c r="L12" s="16">
        <v>0.0475</v>
      </c>
      <c r="M12" s="13">
        <v>-0.0359</v>
      </c>
      <c r="N12" s="50">
        <v>0.2725</v>
      </c>
    </row>
    <row r="13" ht="15.6" customHeight="1" spans="1:14">
      <c r="A13" s="12" t="s">
        <v>1569</v>
      </c>
      <c r="B13" s="13" t="s">
        <v>30</v>
      </c>
      <c r="C13" s="13" t="s">
        <v>1570</v>
      </c>
      <c r="D13" s="13" t="s">
        <v>1552</v>
      </c>
      <c r="E13" s="16" t="s">
        <v>1571</v>
      </c>
      <c r="F13" s="16">
        <v>0.0072</v>
      </c>
      <c r="G13" s="16">
        <v>-0.0215</v>
      </c>
      <c r="H13" s="16">
        <v>-0.019</v>
      </c>
      <c r="I13" s="47">
        <v>0.0426</v>
      </c>
      <c r="J13" s="48">
        <v>0.0742</v>
      </c>
      <c r="K13" s="16">
        <v>0.0939</v>
      </c>
      <c r="L13" s="16">
        <v>0.0772</v>
      </c>
      <c r="M13" s="13">
        <v>0.2922</v>
      </c>
      <c r="N13" s="50">
        <v>0.4535</v>
      </c>
    </row>
    <row r="14" ht="15.6" customHeight="1" spans="1:14">
      <c r="A14" s="12" t="s">
        <v>1572</v>
      </c>
      <c r="B14" s="13" t="s">
        <v>30</v>
      </c>
      <c r="C14" s="13" t="s">
        <v>1573</v>
      </c>
      <c r="D14" s="13" t="s">
        <v>1549</v>
      </c>
      <c r="E14" s="16" t="s">
        <v>1011</v>
      </c>
      <c r="F14" s="16">
        <v>0.0057</v>
      </c>
      <c r="G14" s="16">
        <v>0.0205</v>
      </c>
      <c r="H14" s="16">
        <v>0.1145</v>
      </c>
      <c r="I14" s="47">
        <v>0.1393</v>
      </c>
      <c r="J14" s="48">
        <v>0.0021</v>
      </c>
      <c r="K14" s="16">
        <v>0.0026</v>
      </c>
      <c r="L14" s="16">
        <v>0.0331</v>
      </c>
      <c r="M14" s="13">
        <v>3.6014</v>
      </c>
      <c r="N14" s="50">
        <v>53.2275</v>
      </c>
    </row>
    <row r="15" ht="15.6" customHeight="1" spans="1:14">
      <c r="A15" s="12" t="s">
        <v>1574</v>
      </c>
      <c r="B15" s="13" t="s">
        <v>30</v>
      </c>
      <c r="C15" s="13" t="s">
        <v>1575</v>
      </c>
      <c r="D15" s="13" t="s">
        <v>1552</v>
      </c>
      <c r="E15" s="16" t="s">
        <v>1576</v>
      </c>
      <c r="F15" s="16">
        <v>0.0055</v>
      </c>
      <c r="G15" s="16">
        <v>0.004</v>
      </c>
      <c r="H15" s="16">
        <v>0.0751</v>
      </c>
      <c r="I15" s="47">
        <v>0.0939</v>
      </c>
      <c r="J15" s="48">
        <v>0.0107</v>
      </c>
      <c r="K15" s="16">
        <v>0.0147</v>
      </c>
      <c r="L15" s="16">
        <v>0.0324</v>
      </c>
      <c r="M15" s="13">
        <v>2.2812</v>
      </c>
      <c r="N15" s="50">
        <v>6.3844</v>
      </c>
    </row>
    <row r="16" ht="15.6" customHeight="1" spans="1:14">
      <c r="A16" s="12" t="s">
        <v>1498</v>
      </c>
      <c r="B16" s="13" t="s">
        <v>61</v>
      </c>
      <c r="C16" s="13" t="s">
        <v>1577</v>
      </c>
      <c r="D16" s="13" t="s">
        <v>1552</v>
      </c>
      <c r="E16" s="16" t="s">
        <v>998</v>
      </c>
      <c r="F16" s="16">
        <v>0.0049</v>
      </c>
      <c r="G16" s="16">
        <v>-0.0044</v>
      </c>
      <c r="H16" s="16">
        <v>0.0152</v>
      </c>
      <c r="I16" s="47">
        <v>0.0535</v>
      </c>
      <c r="J16" s="48">
        <v>0.028</v>
      </c>
      <c r="K16" s="16">
        <v>0.028</v>
      </c>
      <c r="L16" s="16">
        <v>0.0402</v>
      </c>
      <c r="M16" s="13">
        <v>0.8336</v>
      </c>
      <c r="N16" s="50">
        <v>1.9076</v>
      </c>
    </row>
    <row r="17" ht="15.6" customHeight="1" spans="1:14">
      <c r="A17" s="12" t="s">
        <v>1578</v>
      </c>
      <c r="B17" s="13" t="s">
        <v>38</v>
      </c>
      <c r="C17" s="13" t="s">
        <v>1579</v>
      </c>
      <c r="D17" s="13" t="s">
        <v>1549</v>
      </c>
      <c r="E17" s="16" t="s">
        <v>102</v>
      </c>
      <c r="F17" s="16">
        <v>0.0045</v>
      </c>
      <c r="G17" s="16">
        <v>-0.0034</v>
      </c>
      <c r="H17" s="16">
        <v>-0.0118</v>
      </c>
      <c r="I17" s="47">
        <v>0.1066</v>
      </c>
      <c r="J17" s="48">
        <v>0.0166</v>
      </c>
      <c r="K17" s="16">
        <v>0.0314</v>
      </c>
      <c r="L17" s="16">
        <v>0.1096</v>
      </c>
      <c r="M17" s="13">
        <v>0.79</v>
      </c>
      <c r="N17" s="50">
        <v>3.3916</v>
      </c>
    </row>
    <row r="18" ht="15.6" customHeight="1" spans="1:14">
      <c r="A18" s="12" t="s">
        <v>1580</v>
      </c>
      <c r="B18" s="13" t="s">
        <v>30</v>
      </c>
      <c r="C18" s="13" t="s">
        <v>1581</v>
      </c>
      <c r="D18" s="13" t="s">
        <v>1543</v>
      </c>
      <c r="E18" s="16" t="s">
        <v>1582</v>
      </c>
      <c r="F18" s="16">
        <v>0.0044</v>
      </c>
      <c r="G18" s="16">
        <v>0.0133</v>
      </c>
      <c r="H18" s="16">
        <v>0.037</v>
      </c>
      <c r="I18" s="47">
        <v>0.024</v>
      </c>
      <c r="J18" s="48">
        <v>0.036</v>
      </c>
      <c r="K18" s="16">
        <v>0.2351</v>
      </c>
      <c r="L18" s="16">
        <v>0.1385</v>
      </c>
      <c r="M18" s="13">
        <v>0.0291</v>
      </c>
      <c r="N18" s="50">
        <v>0.1022</v>
      </c>
    </row>
    <row r="19" ht="15.6" customHeight="1" spans="1:14">
      <c r="A19" s="12" t="s">
        <v>1583</v>
      </c>
      <c r="B19" s="13" t="s">
        <v>156</v>
      </c>
      <c r="C19" s="13" t="s">
        <v>1584</v>
      </c>
      <c r="D19" s="13" t="s">
        <v>1552</v>
      </c>
      <c r="E19" s="16" t="s">
        <v>1389</v>
      </c>
      <c r="F19" s="16">
        <v>0.0042</v>
      </c>
      <c r="G19" s="16">
        <v>0.0072</v>
      </c>
      <c r="H19" s="16">
        <v>0.0383</v>
      </c>
      <c r="I19" s="47">
        <v>0.0765</v>
      </c>
      <c r="J19" s="48">
        <v>0.0064</v>
      </c>
      <c r="K19" s="16">
        <v>0.04</v>
      </c>
      <c r="L19" s="16">
        <v>0.0359</v>
      </c>
      <c r="M19" s="13">
        <v>1.5736</v>
      </c>
      <c r="N19" s="50">
        <v>1.9116</v>
      </c>
    </row>
    <row r="20" ht="15.6" customHeight="1" spans="1:14">
      <c r="A20" s="12" t="s">
        <v>1100</v>
      </c>
      <c r="B20" s="13" t="s">
        <v>38</v>
      </c>
      <c r="C20" s="13" t="s">
        <v>1585</v>
      </c>
      <c r="D20" s="13" t="s">
        <v>1552</v>
      </c>
      <c r="E20" s="16" t="s">
        <v>1586</v>
      </c>
      <c r="F20" s="16">
        <v>0.004</v>
      </c>
      <c r="G20" s="16">
        <v>0.0016</v>
      </c>
      <c r="H20" s="16">
        <v>0.017</v>
      </c>
      <c r="I20" s="47">
        <v>0.0412</v>
      </c>
      <c r="J20" s="48">
        <v>0.0088</v>
      </c>
      <c r="K20" s="16">
        <v>0.011</v>
      </c>
      <c r="L20" s="16">
        <v>0.0222</v>
      </c>
      <c r="M20" s="13">
        <v>0.9591</v>
      </c>
      <c r="N20" s="50">
        <v>3.7496</v>
      </c>
    </row>
    <row r="21" ht="15.6" customHeight="1" spans="1:14">
      <c r="A21" s="12" t="s">
        <v>910</v>
      </c>
      <c r="B21" s="13" t="s">
        <v>61</v>
      </c>
      <c r="C21" s="13" t="s">
        <v>1587</v>
      </c>
      <c r="D21" s="13" t="s">
        <v>1543</v>
      </c>
      <c r="E21" s="16" t="s">
        <v>1005</v>
      </c>
      <c r="F21" s="16">
        <v>0.004</v>
      </c>
      <c r="G21" s="16">
        <v>0.0121</v>
      </c>
      <c r="H21" s="16">
        <v>0.001</v>
      </c>
      <c r="I21" s="47">
        <v>0.0025</v>
      </c>
      <c r="J21" s="48">
        <v>0.0433</v>
      </c>
      <c r="K21" s="16">
        <v>0.0433</v>
      </c>
      <c r="L21" s="16">
        <v>0.0571</v>
      </c>
      <c r="M21" s="13">
        <v>-0.306</v>
      </c>
      <c r="N21" s="50">
        <v>0.0581</v>
      </c>
    </row>
    <row r="22" ht="15.6" customHeight="1" spans="1:14">
      <c r="A22" s="12" t="s">
        <v>1588</v>
      </c>
      <c r="B22" s="13" t="s">
        <v>38</v>
      </c>
      <c r="C22" s="13" t="s">
        <v>1589</v>
      </c>
      <c r="D22" s="13" t="s">
        <v>1558</v>
      </c>
      <c r="E22" s="16" t="s">
        <v>1590</v>
      </c>
      <c r="F22" s="16">
        <v>0.0039</v>
      </c>
      <c r="G22" s="16">
        <v>0.0054</v>
      </c>
      <c r="H22" s="16">
        <v>0.0069</v>
      </c>
      <c r="I22" s="47">
        <v>0.1865</v>
      </c>
      <c r="J22" s="48">
        <v>0.0033</v>
      </c>
      <c r="K22" s="16">
        <v>0.1671</v>
      </c>
      <c r="L22" s="16">
        <v>0.1634</v>
      </c>
      <c r="M22" s="13">
        <v>1.0193</v>
      </c>
      <c r="N22" s="50">
        <v>1.1159</v>
      </c>
    </row>
    <row r="23" ht="15.6" customHeight="1" spans="1:14">
      <c r="A23" s="12" t="s">
        <v>1591</v>
      </c>
      <c r="B23" s="13" t="s">
        <v>61</v>
      </c>
      <c r="C23" s="13" t="s">
        <v>1592</v>
      </c>
      <c r="D23" s="13" t="s">
        <v>1552</v>
      </c>
      <c r="E23" s="16" t="s">
        <v>1593</v>
      </c>
      <c r="F23" s="16">
        <v>0.0036</v>
      </c>
      <c r="G23" s="16">
        <v>0.003</v>
      </c>
      <c r="H23" s="16">
        <v>0.0733</v>
      </c>
      <c r="I23" s="47">
        <v>0.1095</v>
      </c>
      <c r="J23" s="48">
        <v>0.0402</v>
      </c>
      <c r="K23" s="16">
        <v>0.0402</v>
      </c>
      <c r="L23" s="16">
        <v>0.0813</v>
      </c>
      <c r="M23" s="13">
        <v>1.0998</v>
      </c>
      <c r="N23" s="50">
        <v>2.7224</v>
      </c>
    </row>
    <row r="24" ht="15.6" customHeight="1" spans="1:14">
      <c r="A24" s="12" t="s">
        <v>1594</v>
      </c>
      <c r="B24" s="13" t="s">
        <v>54</v>
      </c>
      <c r="C24" s="13" t="s">
        <v>1595</v>
      </c>
      <c r="D24" s="13" t="s">
        <v>1552</v>
      </c>
      <c r="E24" s="16" t="s">
        <v>1596</v>
      </c>
      <c r="F24" s="16">
        <v>0.0035</v>
      </c>
      <c r="G24" s="16">
        <v>0.0104</v>
      </c>
      <c r="H24" s="16">
        <v>0.0433</v>
      </c>
      <c r="I24" s="47">
        <v>0.0442</v>
      </c>
      <c r="J24" s="48">
        <v>0.0026</v>
      </c>
      <c r="K24" s="16">
        <v>0.0288</v>
      </c>
      <c r="L24" s="16">
        <v>0.0286</v>
      </c>
      <c r="M24" s="13">
        <v>0.8466</v>
      </c>
      <c r="N24" s="50">
        <v>1.5365</v>
      </c>
    </row>
    <row r="25" ht="15.6" customHeight="1" spans="1:14">
      <c r="A25" s="12" t="s">
        <v>1597</v>
      </c>
      <c r="B25" s="13" t="s">
        <v>38</v>
      </c>
      <c r="C25" s="13" t="s">
        <v>1598</v>
      </c>
      <c r="D25" s="13" t="s">
        <v>1543</v>
      </c>
      <c r="E25" s="16" t="s">
        <v>1599</v>
      </c>
      <c r="F25" s="16">
        <v>0.0034</v>
      </c>
      <c r="G25" s="16">
        <v>0.007</v>
      </c>
      <c r="H25" s="16">
        <v>0.0228</v>
      </c>
      <c r="I25" s="47">
        <v>0.0504</v>
      </c>
      <c r="J25" s="48">
        <v>0.0087</v>
      </c>
      <c r="K25" s="16">
        <v>0.0324</v>
      </c>
      <c r="L25" s="16">
        <v>0.03</v>
      </c>
      <c r="M25" s="13">
        <v>1.0135</v>
      </c>
      <c r="N25" s="50">
        <v>1.5523</v>
      </c>
    </row>
    <row r="26" ht="15.6" customHeight="1" spans="1:14">
      <c r="A26" s="12" t="s">
        <v>1600</v>
      </c>
      <c r="B26" s="13" t="s">
        <v>30</v>
      </c>
      <c r="C26" s="13" t="s">
        <v>1601</v>
      </c>
      <c r="D26" s="13" t="s">
        <v>1552</v>
      </c>
      <c r="E26" s="16" t="s">
        <v>1602</v>
      </c>
      <c r="F26" s="16">
        <v>0.0033</v>
      </c>
      <c r="G26" s="16">
        <v>0.0124</v>
      </c>
      <c r="H26" s="16">
        <v>0.0614</v>
      </c>
      <c r="I26" s="47">
        <v>0.0722</v>
      </c>
      <c r="J26" s="48">
        <v>0.0005</v>
      </c>
      <c r="K26" s="16">
        <v>0.006</v>
      </c>
      <c r="L26" s="16">
        <v>0.0183</v>
      </c>
      <c r="M26" s="13">
        <v>2.8598</v>
      </c>
      <c r="N26" s="50">
        <v>12.0949</v>
      </c>
    </row>
    <row r="27" ht="15.6" customHeight="1" spans="1:14">
      <c r="A27" s="12" t="s">
        <v>538</v>
      </c>
      <c r="B27" s="13" t="s">
        <v>61</v>
      </c>
      <c r="C27" s="13" t="s">
        <v>1603</v>
      </c>
      <c r="D27" s="13" t="s">
        <v>1549</v>
      </c>
      <c r="E27" s="16" t="s">
        <v>1604</v>
      </c>
      <c r="F27" s="16">
        <v>0.0027</v>
      </c>
      <c r="G27" s="16">
        <v>0.0084</v>
      </c>
      <c r="H27" s="16">
        <v>0.0228</v>
      </c>
      <c r="I27" s="47">
        <v>0.0405</v>
      </c>
      <c r="J27" s="48">
        <v>0.0059</v>
      </c>
      <c r="K27" s="16">
        <v>0.0094</v>
      </c>
      <c r="L27" s="16">
        <v>0.0203</v>
      </c>
      <c r="M27" s="13">
        <v>1.0053</v>
      </c>
      <c r="N27" s="50">
        <v>4.3171</v>
      </c>
    </row>
    <row r="28" ht="15.6" customHeight="1" spans="1:14">
      <c r="A28" s="12" t="s">
        <v>1605</v>
      </c>
      <c r="B28" s="13" t="s">
        <v>30</v>
      </c>
      <c r="C28" s="13" t="s">
        <v>1606</v>
      </c>
      <c r="D28" s="13" t="s">
        <v>1543</v>
      </c>
      <c r="E28" s="16" t="s">
        <v>1607</v>
      </c>
      <c r="F28" s="16">
        <v>0.0027</v>
      </c>
      <c r="G28" s="16">
        <v>0.0048</v>
      </c>
      <c r="H28" s="16">
        <v>-0.0141</v>
      </c>
      <c r="I28" s="47">
        <v>0.0752</v>
      </c>
      <c r="J28" s="48">
        <v>0.0345</v>
      </c>
      <c r="K28" s="16">
        <v>0.1709</v>
      </c>
      <c r="L28" s="16">
        <v>0.073</v>
      </c>
      <c r="M28" s="13">
        <v>0.7564</v>
      </c>
      <c r="N28" s="50">
        <v>0.4403</v>
      </c>
    </row>
    <row r="29" ht="15.6" customHeight="1" spans="1:14">
      <c r="A29" s="12" t="s">
        <v>1594</v>
      </c>
      <c r="B29" s="13" t="s">
        <v>54</v>
      </c>
      <c r="C29" s="13" t="s">
        <v>1608</v>
      </c>
      <c r="D29" s="13" t="s">
        <v>1549</v>
      </c>
      <c r="E29" s="16" t="s">
        <v>1473</v>
      </c>
      <c r="F29" s="16">
        <v>0.0027</v>
      </c>
      <c r="G29" s="16">
        <v>0.0138</v>
      </c>
      <c r="H29" s="16">
        <v>0.0552</v>
      </c>
      <c r="I29" s="47">
        <v>0.0576</v>
      </c>
      <c r="J29" s="48">
        <v>0.0022</v>
      </c>
      <c r="K29" s="16">
        <v>0.0282</v>
      </c>
      <c r="L29" s="16">
        <v>0.023</v>
      </c>
      <c r="M29" s="13">
        <v>1.6368</v>
      </c>
      <c r="N29" s="50">
        <v>2.0424</v>
      </c>
    </row>
    <row r="30" ht="15.6" customHeight="1" spans="1:14">
      <c r="A30" s="12" t="s">
        <v>307</v>
      </c>
      <c r="B30" s="13" t="s">
        <v>54</v>
      </c>
      <c r="C30" s="13" t="s">
        <v>1609</v>
      </c>
      <c r="D30" s="13" t="s">
        <v>1543</v>
      </c>
      <c r="E30" s="16" t="s">
        <v>1328</v>
      </c>
      <c r="F30" s="16">
        <v>0.0027</v>
      </c>
      <c r="G30" s="16">
        <v>-0.0034</v>
      </c>
      <c r="H30" s="16">
        <v>-0.0152</v>
      </c>
      <c r="I30" s="47">
        <v>0.0721</v>
      </c>
      <c r="J30" s="48">
        <v>0.0224</v>
      </c>
      <c r="K30" s="16">
        <v>0.0344</v>
      </c>
      <c r="L30" s="16">
        <v>0.0375</v>
      </c>
      <c r="M30" s="13">
        <v>1.3903</v>
      </c>
      <c r="N30" s="50">
        <v>2.0962</v>
      </c>
    </row>
    <row r="31" ht="15.6" customHeight="1" spans="1:14">
      <c r="A31" s="12" t="s">
        <v>1610</v>
      </c>
      <c r="B31" s="13" t="s">
        <v>30</v>
      </c>
      <c r="C31" s="13" t="s">
        <v>1611</v>
      </c>
      <c r="D31" s="13" t="s">
        <v>1552</v>
      </c>
      <c r="E31" s="16" t="s">
        <v>1612</v>
      </c>
      <c r="F31" s="16">
        <v>0.0024</v>
      </c>
      <c r="G31" s="16">
        <v>0.0048</v>
      </c>
      <c r="H31" s="16">
        <v>0.0549</v>
      </c>
      <c r="I31" s="47">
        <v>0.0656</v>
      </c>
      <c r="J31" s="48">
        <v>0.0018</v>
      </c>
      <c r="K31" s="16">
        <v>0.0138</v>
      </c>
      <c r="L31" s="16">
        <v>0.0184</v>
      </c>
      <c r="M31" s="13">
        <v>2.4738</v>
      </c>
      <c r="N31" s="50">
        <v>4.7567</v>
      </c>
    </row>
    <row r="32" ht="15.6" customHeight="1" spans="1:14">
      <c r="A32" s="12" t="s">
        <v>1613</v>
      </c>
      <c r="B32" s="13" t="s">
        <v>54</v>
      </c>
      <c r="C32" s="13" t="s">
        <v>1614</v>
      </c>
      <c r="D32" s="13" t="s">
        <v>1543</v>
      </c>
      <c r="E32" s="16" t="s">
        <v>1615</v>
      </c>
      <c r="F32" s="16">
        <v>0.002</v>
      </c>
      <c r="G32" s="16">
        <v>0.0061</v>
      </c>
      <c r="H32" s="16">
        <v>0.036</v>
      </c>
      <c r="I32" s="47">
        <v>0.1194</v>
      </c>
      <c r="J32" s="48">
        <v>0.041</v>
      </c>
      <c r="K32" s="16">
        <v>0.0411</v>
      </c>
      <c r="L32" s="16">
        <v>0.0508</v>
      </c>
      <c r="M32" s="13">
        <v>1.9578</v>
      </c>
      <c r="N32" s="50">
        <v>2.9023</v>
      </c>
    </row>
    <row r="33" ht="15.6" customHeight="1" spans="1:14">
      <c r="A33" s="12" t="s">
        <v>106</v>
      </c>
      <c r="B33" s="13" t="s">
        <v>54</v>
      </c>
      <c r="C33" s="13" t="s">
        <v>1616</v>
      </c>
      <c r="D33" s="13" t="s">
        <v>1543</v>
      </c>
      <c r="E33" s="16" t="s">
        <v>1617</v>
      </c>
      <c r="F33" s="16">
        <v>0.0019</v>
      </c>
      <c r="G33" s="16">
        <v>0.013</v>
      </c>
      <c r="H33" s="16">
        <v>0.0485</v>
      </c>
      <c r="I33" s="47">
        <v>0.0877</v>
      </c>
      <c r="J33" s="48">
        <v>0.004</v>
      </c>
      <c r="K33" s="16">
        <v>0.0284</v>
      </c>
      <c r="L33" s="16">
        <v>0.0345</v>
      </c>
      <c r="M33" s="13">
        <v>1.9632</v>
      </c>
      <c r="N33" s="50">
        <v>3.0928</v>
      </c>
    </row>
    <row r="34" ht="15.6" customHeight="1" spans="1:14">
      <c r="A34" s="12" t="s">
        <v>1618</v>
      </c>
      <c r="B34" s="13" t="s">
        <v>54</v>
      </c>
      <c r="C34" s="13" t="s">
        <v>1619</v>
      </c>
      <c r="D34" s="13" t="s">
        <v>1543</v>
      </c>
      <c r="E34" s="16" t="s">
        <v>1620</v>
      </c>
      <c r="F34" s="16">
        <v>0.0019</v>
      </c>
      <c r="G34" s="16">
        <v>0.0028</v>
      </c>
      <c r="H34" s="16">
        <v>-0.0065</v>
      </c>
      <c r="I34" s="47">
        <v>0.0358</v>
      </c>
      <c r="J34" s="48">
        <v>0.012</v>
      </c>
      <c r="K34" s="16">
        <v>0.041</v>
      </c>
      <c r="L34" s="16">
        <v>0.0379</v>
      </c>
      <c r="M34" s="13">
        <v>0.4178</v>
      </c>
      <c r="N34" s="50">
        <v>0.8732</v>
      </c>
    </row>
    <row r="35" ht="15.6" customHeight="1" spans="1:14">
      <c r="A35" s="12" t="s">
        <v>1297</v>
      </c>
      <c r="B35" s="13" t="s">
        <v>30</v>
      </c>
      <c r="C35" s="13" t="s">
        <v>1621</v>
      </c>
      <c r="D35" s="13" t="s">
        <v>1543</v>
      </c>
      <c r="E35" s="16" t="s">
        <v>1622</v>
      </c>
      <c r="F35" s="16">
        <v>0.0017</v>
      </c>
      <c r="G35" s="16">
        <v>-0.0215</v>
      </c>
      <c r="H35" s="16">
        <v>-0.0183</v>
      </c>
      <c r="I35" s="47">
        <v>0.0077</v>
      </c>
      <c r="J35" s="48">
        <v>0.0328</v>
      </c>
      <c r="K35" s="16">
        <v>0.1082</v>
      </c>
      <c r="L35" s="16">
        <v>0.0762</v>
      </c>
      <c r="M35" s="13">
        <v>-0.1611</v>
      </c>
      <c r="N35" s="50">
        <v>0.0713</v>
      </c>
    </row>
    <row r="36" ht="15.6" customHeight="1" spans="1:14">
      <c r="A36" s="12" t="s">
        <v>1623</v>
      </c>
      <c r="B36" s="13" t="s">
        <v>54</v>
      </c>
      <c r="C36" s="13" t="s">
        <v>1624</v>
      </c>
      <c r="D36" s="13" t="s">
        <v>1552</v>
      </c>
      <c r="E36" s="16" t="s">
        <v>1625</v>
      </c>
      <c r="F36" s="16">
        <v>0.0017</v>
      </c>
      <c r="G36" s="16">
        <v>0.0031</v>
      </c>
      <c r="H36" s="16">
        <v>0.0165</v>
      </c>
      <c r="I36" s="47">
        <v>0.0515</v>
      </c>
      <c r="J36" s="48">
        <v>0.0008</v>
      </c>
      <c r="K36" s="16">
        <v>0.0085</v>
      </c>
      <c r="L36" s="16">
        <v>0.0174</v>
      </c>
      <c r="M36" s="13">
        <v>1.8108</v>
      </c>
      <c r="N36" s="50">
        <v>6.0523</v>
      </c>
    </row>
    <row r="37" ht="15.6" customHeight="1" spans="1:14">
      <c r="A37" s="12" t="s">
        <v>79</v>
      </c>
      <c r="B37" s="13" t="s">
        <v>61</v>
      </c>
      <c r="C37" s="13" t="s">
        <v>1626</v>
      </c>
      <c r="D37" s="13" t="s">
        <v>1549</v>
      </c>
      <c r="E37" s="16" t="s">
        <v>593</v>
      </c>
      <c r="F37" s="16">
        <v>0.0016</v>
      </c>
      <c r="G37" s="16">
        <v>0.0058</v>
      </c>
      <c r="H37" s="16">
        <v>0.0277</v>
      </c>
      <c r="I37" s="47">
        <v>0.1524</v>
      </c>
      <c r="J37" s="48">
        <v>0.0018</v>
      </c>
      <c r="K37" s="16">
        <v>0.1671</v>
      </c>
      <c r="L37" s="16">
        <v>0.2541</v>
      </c>
      <c r="M37" s="13">
        <v>0.5211</v>
      </c>
      <c r="N37" s="50">
        <v>0.9119</v>
      </c>
    </row>
    <row r="38" ht="15.6" customHeight="1" spans="1:14">
      <c r="A38" s="12" t="s">
        <v>428</v>
      </c>
      <c r="B38" s="13" t="s">
        <v>156</v>
      </c>
      <c r="C38" s="13" t="s">
        <v>1627</v>
      </c>
      <c r="D38" s="13" t="s">
        <v>1552</v>
      </c>
      <c r="E38" s="16" t="s">
        <v>1628</v>
      </c>
      <c r="F38" s="16">
        <v>0.0016</v>
      </c>
      <c r="G38" s="16">
        <v>0.0011</v>
      </c>
      <c r="H38" s="16">
        <v>0.0248</v>
      </c>
      <c r="I38" s="47">
        <v>0.1009</v>
      </c>
      <c r="J38" s="48">
        <v>0.0047</v>
      </c>
      <c r="K38" s="16">
        <v>0.0047</v>
      </c>
      <c r="L38" s="16">
        <v>0.0204</v>
      </c>
      <c r="M38" s="13">
        <v>3.9711</v>
      </c>
      <c r="N38" s="50">
        <v>21.5304</v>
      </c>
    </row>
    <row r="39" ht="15.6" customHeight="1" spans="1:14">
      <c r="A39" s="12" t="s">
        <v>1310</v>
      </c>
      <c r="B39" s="13" t="s">
        <v>61</v>
      </c>
      <c r="C39" s="13" t="s">
        <v>1629</v>
      </c>
      <c r="D39" s="13" t="s">
        <v>1558</v>
      </c>
      <c r="E39" s="16" t="s">
        <v>1514</v>
      </c>
      <c r="F39" s="16">
        <v>0.0016</v>
      </c>
      <c r="G39" s="16">
        <v>-0.0057</v>
      </c>
      <c r="H39" s="16">
        <v>0.0053</v>
      </c>
      <c r="I39" s="47">
        <v>0.1277</v>
      </c>
      <c r="J39" s="48">
        <v>0.0297</v>
      </c>
      <c r="K39" s="16">
        <v>0.0684</v>
      </c>
      <c r="L39" s="16">
        <v>0.0753</v>
      </c>
      <c r="M39" s="13">
        <v>1.4303</v>
      </c>
      <c r="N39" s="50">
        <v>1.8687</v>
      </c>
    </row>
    <row r="40" ht="15.6" customHeight="1" spans="1:14">
      <c r="A40" s="12" t="s">
        <v>1630</v>
      </c>
      <c r="B40" s="13" t="s">
        <v>61</v>
      </c>
      <c r="C40" s="13" t="s">
        <v>1631</v>
      </c>
      <c r="D40" s="13" t="s">
        <v>1546</v>
      </c>
      <c r="E40" s="16" t="s">
        <v>1632</v>
      </c>
      <c r="F40" s="16">
        <v>0.0015</v>
      </c>
      <c r="G40" s="16">
        <v>0.0051</v>
      </c>
      <c r="H40" s="16">
        <v>0.0266</v>
      </c>
      <c r="I40" s="47">
        <v>0.0732</v>
      </c>
      <c r="J40" s="48">
        <v>0.0289</v>
      </c>
      <c r="K40" s="16">
        <v>0.0289</v>
      </c>
      <c r="L40" s="16">
        <v>0.0463</v>
      </c>
      <c r="M40" s="13">
        <v>1.1482</v>
      </c>
      <c r="N40" s="50">
        <v>2.5361</v>
      </c>
    </row>
    <row r="41" ht="15.6" customHeight="1" spans="1:14">
      <c r="A41" s="12" t="s">
        <v>1633</v>
      </c>
      <c r="B41" s="13" t="s">
        <v>61</v>
      </c>
      <c r="C41" s="13" t="s">
        <v>1634</v>
      </c>
      <c r="D41" s="13" t="s">
        <v>1549</v>
      </c>
      <c r="E41" s="16" t="s">
        <v>1635</v>
      </c>
      <c r="F41" s="16">
        <v>0.0015</v>
      </c>
      <c r="G41" s="16">
        <v>0.0047</v>
      </c>
      <c r="H41" s="16">
        <v>0.0063</v>
      </c>
      <c r="I41" s="47">
        <v>0.0379</v>
      </c>
      <c r="J41" s="48">
        <v>0.0056</v>
      </c>
      <c r="K41" s="16">
        <v>0.0056</v>
      </c>
      <c r="L41" s="16">
        <v>0.0211</v>
      </c>
      <c r="M41" s="13">
        <v>0.8464</v>
      </c>
      <c r="N41" s="50">
        <v>6.7854</v>
      </c>
    </row>
    <row r="42" ht="15.6" customHeight="1" spans="1:14">
      <c r="A42" s="12" t="s">
        <v>1583</v>
      </c>
      <c r="B42" s="13" t="s">
        <v>156</v>
      </c>
      <c r="C42" s="13" t="s">
        <v>1636</v>
      </c>
      <c r="D42" s="13" t="s">
        <v>1546</v>
      </c>
      <c r="E42" s="16" t="s">
        <v>600</v>
      </c>
      <c r="F42" s="16">
        <v>0.0015</v>
      </c>
      <c r="G42" s="16">
        <v>0.0024</v>
      </c>
      <c r="H42" s="16">
        <v>0.0353</v>
      </c>
      <c r="I42" s="47">
        <v>0.0532</v>
      </c>
      <c r="J42" s="48">
        <v>0.0154</v>
      </c>
      <c r="K42" s="16">
        <v>0.0543</v>
      </c>
      <c r="L42" s="16">
        <v>0.0485</v>
      </c>
      <c r="M42" s="13">
        <v>0.6852</v>
      </c>
      <c r="N42" s="50">
        <v>0.9808</v>
      </c>
    </row>
    <row r="43" ht="15.6" customHeight="1" spans="1:14">
      <c r="A43" s="12" t="s">
        <v>1367</v>
      </c>
      <c r="B43" s="13" t="s">
        <v>30</v>
      </c>
      <c r="C43" s="13" t="s">
        <v>1637</v>
      </c>
      <c r="D43" s="13" t="s">
        <v>1549</v>
      </c>
      <c r="E43" s="16" t="s">
        <v>1363</v>
      </c>
      <c r="F43" s="16">
        <v>0.0015</v>
      </c>
      <c r="G43" s="16">
        <v>-0.0001</v>
      </c>
      <c r="H43" s="16">
        <v>-0.0045</v>
      </c>
      <c r="I43" s="47">
        <v>0.24</v>
      </c>
      <c r="J43" s="48">
        <v>0.0083</v>
      </c>
      <c r="K43" s="16">
        <v>0.0601</v>
      </c>
      <c r="L43" s="16">
        <v>0.2258</v>
      </c>
      <c r="M43" s="13">
        <v>0.9741</v>
      </c>
      <c r="N43" s="50">
        <v>3.9955</v>
      </c>
    </row>
    <row r="44" ht="15.6" customHeight="1" spans="1:14">
      <c r="A44" s="12" t="s">
        <v>1638</v>
      </c>
      <c r="B44" s="13" t="s">
        <v>61</v>
      </c>
      <c r="C44" s="13" t="s">
        <v>1639</v>
      </c>
      <c r="D44" s="13" t="s">
        <v>1543</v>
      </c>
      <c r="E44" s="16" t="s">
        <v>1640</v>
      </c>
      <c r="F44" s="16">
        <v>0.0014</v>
      </c>
      <c r="G44" s="16">
        <v>-0.0152</v>
      </c>
      <c r="H44" s="16">
        <v>-0.0145</v>
      </c>
      <c r="I44" s="47">
        <v>0.2204</v>
      </c>
      <c r="J44" s="48">
        <v>0.062</v>
      </c>
      <c r="K44" s="16">
        <v>0.0652</v>
      </c>
      <c r="L44" s="16">
        <v>0.1038</v>
      </c>
      <c r="M44" s="13">
        <v>1.9301</v>
      </c>
      <c r="N44" s="50">
        <v>3.3812</v>
      </c>
    </row>
    <row r="45" ht="15.6" customHeight="1" spans="1:14">
      <c r="A45" s="12" t="s">
        <v>1641</v>
      </c>
      <c r="B45" s="13" t="s">
        <v>30</v>
      </c>
      <c r="C45" s="13" t="s">
        <v>1642</v>
      </c>
      <c r="D45" s="13" t="s">
        <v>1543</v>
      </c>
      <c r="E45" s="16" t="s">
        <v>1643</v>
      </c>
      <c r="F45" s="16">
        <v>0.0014</v>
      </c>
      <c r="G45" s="16">
        <v>0.0133</v>
      </c>
      <c r="H45" s="16">
        <v>0.0621</v>
      </c>
      <c r="I45" s="47">
        <v>0.1241</v>
      </c>
      <c r="J45" s="48">
        <v>0.007</v>
      </c>
      <c r="K45" s="16">
        <v>0.0473</v>
      </c>
      <c r="L45" s="16">
        <v>0.0698</v>
      </c>
      <c r="M45" s="13">
        <v>1.4905</v>
      </c>
      <c r="N45" s="50">
        <v>2.6224</v>
      </c>
    </row>
    <row r="46" ht="15.6" customHeight="1" spans="1:14">
      <c r="A46" s="12" t="s">
        <v>1644</v>
      </c>
      <c r="B46" s="13" t="s">
        <v>30</v>
      </c>
      <c r="C46" s="13" t="s">
        <v>1645</v>
      </c>
      <c r="D46" s="13" t="s">
        <v>1552</v>
      </c>
      <c r="E46" s="16" t="s">
        <v>1646</v>
      </c>
      <c r="F46" s="16">
        <v>0.0012</v>
      </c>
      <c r="G46" s="16">
        <v>-0.0021</v>
      </c>
      <c r="H46" s="16">
        <v>0.0108</v>
      </c>
      <c r="I46" s="47">
        <v>0.0671</v>
      </c>
      <c r="J46" s="48">
        <v>0.0046</v>
      </c>
      <c r="K46" s="16">
        <v>0.0331</v>
      </c>
      <c r="L46" s="16">
        <v>0.0299</v>
      </c>
      <c r="M46" s="13">
        <v>1.5715</v>
      </c>
      <c r="N46" s="50">
        <v>2.0235</v>
      </c>
    </row>
    <row r="47" ht="15.6" customHeight="1" spans="1:14">
      <c r="A47" s="12" t="s">
        <v>1647</v>
      </c>
      <c r="B47" s="13" t="s">
        <v>38</v>
      </c>
      <c r="C47" s="13" t="s">
        <v>1648</v>
      </c>
      <c r="D47" s="13" t="s">
        <v>1546</v>
      </c>
      <c r="E47" s="16" t="s">
        <v>1649</v>
      </c>
      <c r="F47" s="16">
        <v>0.0011</v>
      </c>
      <c r="G47" s="16">
        <v>0.0068</v>
      </c>
      <c r="H47" s="16">
        <v>0.0687</v>
      </c>
      <c r="I47" s="47">
        <v>0.1151</v>
      </c>
      <c r="J47" s="48">
        <v>0.0035</v>
      </c>
      <c r="K47" s="16">
        <v>0.0249</v>
      </c>
      <c r="L47" s="16">
        <v>0.0366</v>
      </c>
      <c r="M47" s="13">
        <v>2.5968</v>
      </c>
      <c r="N47" s="50">
        <v>4.6257</v>
      </c>
    </row>
    <row r="48" ht="15.6" customHeight="1" spans="1:14">
      <c r="A48" s="12" t="s">
        <v>1644</v>
      </c>
      <c r="B48" s="13" t="s">
        <v>30</v>
      </c>
      <c r="C48" s="13" t="s">
        <v>1650</v>
      </c>
      <c r="D48" s="13" t="s">
        <v>1546</v>
      </c>
      <c r="E48" s="16" t="s">
        <v>1651</v>
      </c>
      <c r="F48" s="16">
        <v>0.0011</v>
      </c>
      <c r="G48" s="16">
        <v>-0.0154</v>
      </c>
      <c r="H48" s="16">
        <v>-0.0135</v>
      </c>
      <c r="I48" s="47">
        <v>0.0576</v>
      </c>
      <c r="J48" s="48">
        <v>0.0309</v>
      </c>
      <c r="K48" s="16">
        <v>0.0309</v>
      </c>
      <c r="L48" s="16">
        <v>0.0355</v>
      </c>
      <c r="M48" s="13">
        <v>1.0594</v>
      </c>
      <c r="N48" s="50">
        <v>1.8628</v>
      </c>
    </row>
    <row r="49" ht="15.6" customHeight="1" spans="1:14">
      <c r="A49" s="12" t="s">
        <v>1652</v>
      </c>
      <c r="B49" s="13" t="s">
        <v>38</v>
      </c>
      <c r="C49" s="13" t="s">
        <v>1653</v>
      </c>
      <c r="D49" s="13" t="s">
        <v>1558</v>
      </c>
      <c r="E49" s="16" t="s">
        <v>1654</v>
      </c>
      <c r="F49" s="16">
        <v>0.001</v>
      </c>
      <c r="G49" s="16">
        <v>0.0019</v>
      </c>
      <c r="H49" s="16">
        <v>0.0233</v>
      </c>
      <c r="I49" s="47">
        <v>0.0678</v>
      </c>
      <c r="J49" s="48">
        <v>0.0126</v>
      </c>
      <c r="K49" s="16">
        <v>0.0126</v>
      </c>
      <c r="L49" s="16">
        <v>0.0195</v>
      </c>
      <c r="M49" s="13">
        <v>2.4466</v>
      </c>
      <c r="N49" s="50">
        <v>5.3657</v>
      </c>
    </row>
    <row r="50" ht="15.6" customHeight="1" spans="1:14">
      <c r="A50" s="12" t="s">
        <v>1655</v>
      </c>
      <c r="B50" s="13" t="s">
        <v>54</v>
      </c>
      <c r="C50" s="13" t="s">
        <v>1656</v>
      </c>
      <c r="D50" s="13" t="s">
        <v>1543</v>
      </c>
      <c r="E50" s="16" t="s">
        <v>1657</v>
      </c>
      <c r="F50" s="16">
        <v>0.001</v>
      </c>
      <c r="G50" s="16">
        <v>0.0096</v>
      </c>
      <c r="H50" s="16">
        <v>0.0396</v>
      </c>
      <c r="I50" s="47">
        <v>0.0524</v>
      </c>
      <c r="J50" s="48">
        <v>0.0228</v>
      </c>
      <c r="K50" s="16">
        <v>0.0228</v>
      </c>
      <c r="L50" s="16">
        <v>0.0434</v>
      </c>
      <c r="M50" s="13">
        <v>0.7471</v>
      </c>
      <c r="N50" s="50">
        <v>2.299</v>
      </c>
    </row>
    <row r="51" ht="15.6" customHeight="1" spans="1:14">
      <c r="A51" s="12" t="s">
        <v>437</v>
      </c>
      <c r="B51" s="13" t="s">
        <v>61</v>
      </c>
      <c r="C51" s="13" t="s">
        <v>1658</v>
      </c>
      <c r="D51" s="13" t="s">
        <v>1552</v>
      </c>
      <c r="E51" s="16" t="s">
        <v>1659</v>
      </c>
      <c r="F51" s="16">
        <v>0.0009</v>
      </c>
      <c r="G51" s="16">
        <v>0.0045</v>
      </c>
      <c r="H51" s="16">
        <v>0.0624</v>
      </c>
      <c r="I51" s="47">
        <v>0.1476</v>
      </c>
      <c r="J51" s="48">
        <v>0.0027</v>
      </c>
      <c r="K51" s="16">
        <v>0.0027</v>
      </c>
      <c r="L51" s="16">
        <v>0.0227</v>
      </c>
      <c r="M51" s="13">
        <v>5.6259</v>
      </c>
      <c r="N51" s="50">
        <v>54.224</v>
      </c>
    </row>
    <row r="52" ht="15.6" customHeight="1" spans="1:14">
      <c r="A52" s="12" t="s">
        <v>1660</v>
      </c>
      <c r="B52" s="13" t="s">
        <v>61</v>
      </c>
      <c r="C52" s="13" t="s">
        <v>1661</v>
      </c>
      <c r="D52" s="13" t="s">
        <v>1549</v>
      </c>
      <c r="E52" s="16" t="s">
        <v>696</v>
      </c>
      <c r="F52" s="16">
        <v>0.0009</v>
      </c>
      <c r="G52" s="16">
        <v>-0.0074</v>
      </c>
      <c r="H52" s="16">
        <v>0.0148</v>
      </c>
      <c r="I52" s="47">
        <v>0.0637</v>
      </c>
      <c r="J52" s="48">
        <v>0.0115</v>
      </c>
      <c r="K52" s="16">
        <v>0.0115</v>
      </c>
      <c r="L52" s="16">
        <v>0.04</v>
      </c>
      <c r="M52" s="13">
        <v>1.0918</v>
      </c>
      <c r="N52" s="50">
        <v>5.5499</v>
      </c>
    </row>
    <row r="53" ht="15.6" customHeight="1" spans="1:14">
      <c r="A53" s="12" t="s">
        <v>1662</v>
      </c>
      <c r="B53" s="13" t="s">
        <v>38</v>
      </c>
      <c r="C53" s="13" t="s">
        <v>1663</v>
      </c>
      <c r="D53" s="13" t="s">
        <v>1552</v>
      </c>
      <c r="E53" s="16" t="s">
        <v>1664</v>
      </c>
      <c r="F53" s="16">
        <v>0.0008</v>
      </c>
      <c r="G53" s="16">
        <v>0.0135</v>
      </c>
      <c r="H53" s="16">
        <v>-0.0015</v>
      </c>
      <c r="I53" s="47">
        <v>0.0988</v>
      </c>
      <c r="J53" s="48">
        <v>0.0346</v>
      </c>
      <c r="K53" s="16">
        <v>0.0346</v>
      </c>
      <c r="L53" s="16">
        <v>0.0357</v>
      </c>
      <c r="M53" s="13">
        <v>2.2095</v>
      </c>
      <c r="N53" s="50">
        <v>2.8573</v>
      </c>
    </row>
    <row r="54" ht="15.6" customHeight="1" spans="1:14">
      <c r="A54" s="12" t="s">
        <v>1665</v>
      </c>
      <c r="B54" s="13" t="s">
        <v>54</v>
      </c>
      <c r="C54" s="13" t="s">
        <v>1666</v>
      </c>
      <c r="D54" s="13" t="s">
        <v>1543</v>
      </c>
      <c r="E54" s="16" t="s">
        <v>1667</v>
      </c>
      <c r="F54" s="16">
        <v>0.0007</v>
      </c>
      <c r="G54" s="16">
        <v>-0.0045</v>
      </c>
      <c r="H54" s="16">
        <v>0.0284</v>
      </c>
      <c r="I54" s="47">
        <v>0.0708</v>
      </c>
      <c r="J54" s="48">
        <v>0.0083</v>
      </c>
      <c r="K54" s="16">
        <v>0.0278</v>
      </c>
      <c r="L54" s="16">
        <v>0.0391</v>
      </c>
      <c r="M54" s="13">
        <v>1.2974</v>
      </c>
      <c r="N54" s="50">
        <v>2.5482</v>
      </c>
    </row>
    <row r="55" ht="15.6" customHeight="1" spans="1:14">
      <c r="A55" s="12" t="s">
        <v>398</v>
      </c>
      <c r="B55" s="13" t="s">
        <v>30</v>
      </c>
      <c r="C55" s="13" t="s">
        <v>1668</v>
      </c>
      <c r="D55" s="13" t="s">
        <v>1546</v>
      </c>
      <c r="E55" s="16" t="s">
        <v>1669</v>
      </c>
      <c r="F55" s="16">
        <v>0.0007</v>
      </c>
      <c r="G55" s="16">
        <v>0.0054</v>
      </c>
      <c r="H55" s="16">
        <v>0.1638</v>
      </c>
      <c r="I55" s="47">
        <v>0.206</v>
      </c>
      <c r="J55" s="48">
        <v>0.0144</v>
      </c>
      <c r="K55" s="16">
        <v>0.1144</v>
      </c>
      <c r="L55" s="16">
        <v>0.088</v>
      </c>
      <c r="M55" s="13">
        <v>2.1132</v>
      </c>
      <c r="N55" s="50">
        <v>1.801</v>
      </c>
    </row>
    <row r="56" ht="15.6" customHeight="1" spans="1:14">
      <c r="A56" s="12" t="s">
        <v>1423</v>
      </c>
      <c r="B56" s="13" t="s">
        <v>30</v>
      </c>
      <c r="C56" s="13" t="s">
        <v>1670</v>
      </c>
      <c r="D56" s="13" t="s">
        <v>1552</v>
      </c>
      <c r="E56" s="16" t="s">
        <v>1671</v>
      </c>
      <c r="F56" s="16">
        <v>0.0005</v>
      </c>
      <c r="G56" s="16">
        <v>-0.0005</v>
      </c>
      <c r="H56" s="16">
        <v>0.0716</v>
      </c>
      <c r="I56" s="47">
        <v>0.1133</v>
      </c>
      <c r="J56" s="48">
        <v>0.0105</v>
      </c>
      <c r="K56" s="16">
        <v>0.0105</v>
      </c>
      <c r="L56" s="16">
        <v>0.0323</v>
      </c>
      <c r="M56" s="13">
        <v>2.8861</v>
      </c>
      <c r="N56" s="50">
        <v>10.831</v>
      </c>
    </row>
    <row r="57" ht="15.6" customHeight="1" spans="1:14">
      <c r="A57" s="12" t="s">
        <v>1672</v>
      </c>
      <c r="B57" s="13" t="s">
        <v>54</v>
      </c>
      <c r="C57" s="13" t="s">
        <v>1673</v>
      </c>
      <c r="D57" s="13" t="s">
        <v>1543</v>
      </c>
      <c r="E57" s="16" t="s">
        <v>1299</v>
      </c>
      <c r="F57" s="16">
        <v>0</v>
      </c>
      <c r="G57" s="16">
        <v>0.0017</v>
      </c>
      <c r="H57" s="16">
        <v>0.011</v>
      </c>
      <c r="I57" s="47">
        <v>0.0503</v>
      </c>
      <c r="J57" s="48">
        <v>0.0076</v>
      </c>
      <c r="K57" s="16">
        <v>0.0174</v>
      </c>
      <c r="L57" s="16">
        <v>0.0213</v>
      </c>
      <c r="M57" s="13">
        <v>1.4261</v>
      </c>
      <c r="N57" s="50">
        <v>2.9</v>
      </c>
    </row>
    <row r="58" ht="15.6" customHeight="1" spans="1:14">
      <c r="A58" s="12" t="s">
        <v>1674</v>
      </c>
      <c r="B58" s="13" t="s">
        <v>38</v>
      </c>
      <c r="C58" s="13" t="s">
        <v>1675</v>
      </c>
      <c r="D58" s="13" t="s">
        <v>1552</v>
      </c>
      <c r="E58" s="16" t="s">
        <v>1676</v>
      </c>
      <c r="F58" s="16">
        <v>0</v>
      </c>
      <c r="G58" s="16">
        <v>0.0074</v>
      </c>
      <c r="H58" s="16">
        <v>0.0278</v>
      </c>
      <c r="I58" s="47">
        <v>0.0772</v>
      </c>
      <c r="J58" s="48">
        <v>0.0075</v>
      </c>
      <c r="K58" s="16">
        <v>0.0206</v>
      </c>
      <c r="L58" s="16">
        <v>0.0531</v>
      </c>
      <c r="M58" s="13">
        <v>1.0776</v>
      </c>
      <c r="N58" s="50">
        <v>3.7545</v>
      </c>
    </row>
    <row r="59" ht="15.6" customHeight="1" spans="1:14">
      <c r="A59" s="12" t="s">
        <v>1677</v>
      </c>
      <c r="B59" s="13" t="s">
        <v>54</v>
      </c>
      <c r="C59" s="13" t="s">
        <v>1678</v>
      </c>
      <c r="D59" s="13" t="s">
        <v>1552</v>
      </c>
      <c r="E59" s="16" t="s">
        <v>1679</v>
      </c>
      <c r="F59" s="16">
        <v>0</v>
      </c>
      <c r="G59" s="16">
        <v>0.0154</v>
      </c>
      <c r="H59" s="16">
        <v>0.103</v>
      </c>
      <c r="I59" s="47">
        <v>0.1189</v>
      </c>
      <c r="J59" s="48">
        <v>0.0009</v>
      </c>
      <c r="K59" s="16">
        <v>0.0379</v>
      </c>
      <c r="L59" s="16">
        <v>0.0424</v>
      </c>
      <c r="M59" s="13">
        <v>2.3339</v>
      </c>
      <c r="N59" s="50">
        <v>3.1397</v>
      </c>
    </row>
    <row r="60" ht="15.6" customHeight="1" spans="1:14">
      <c r="A60" s="12" t="s">
        <v>1680</v>
      </c>
      <c r="B60" s="13" t="s">
        <v>54</v>
      </c>
      <c r="C60" s="13" t="s">
        <v>1681</v>
      </c>
      <c r="D60" s="13" t="s">
        <v>1543</v>
      </c>
      <c r="E60" s="16" t="s">
        <v>1682</v>
      </c>
      <c r="F60" s="16">
        <v>-0.0001</v>
      </c>
      <c r="G60" s="16">
        <v>0.0031</v>
      </c>
      <c r="H60" s="16">
        <v>0.0303</v>
      </c>
      <c r="I60" s="47">
        <v>0.071</v>
      </c>
      <c r="J60" s="48">
        <v>0.002</v>
      </c>
      <c r="K60" s="16">
        <v>0.0045</v>
      </c>
      <c r="L60" s="16">
        <v>0.0277</v>
      </c>
      <c r="M60" s="13">
        <v>1.8406</v>
      </c>
      <c r="N60" s="50">
        <v>15.7182</v>
      </c>
    </row>
    <row r="61" ht="15.6" customHeight="1" spans="1:14">
      <c r="A61" s="12" t="s">
        <v>1683</v>
      </c>
      <c r="B61" s="13" t="s">
        <v>38</v>
      </c>
      <c r="C61" s="13" t="s">
        <v>1684</v>
      </c>
      <c r="D61" s="13" t="s">
        <v>1543</v>
      </c>
      <c r="E61" s="16" t="s">
        <v>1685</v>
      </c>
      <c r="F61" s="16">
        <v>-0.0001</v>
      </c>
      <c r="G61" s="16">
        <v>-0.0139</v>
      </c>
      <c r="H61" s="16">
        <v>0.0258</v>
      </c>
      <c r="I61" s="47">
        <v>0.1248</v>
      </c>
      <c r="J61" s="48">
        <v>0.0139</v>
      </c>
      <c r="K61" s="16">
        <v>0.0762</v>
      </c>
      <c r="L61" s="16">
        <v>0.0554</v>
      </c>
      <c r="M61" s="13">
        <v>1.8908</v>
      </c>
      <c r="N61" s="50">
        <v>1.6379</v>
      </c>
    </row>
    <row r="62" ht="15.6" customHeight="1" spans="1:14">
      <c r="A62" s="12" t="s">
        <v>1686</v>
      </c>
      <c r="B62" s="13" t="s">
        <v>30</v>
      </c>
      <c r="C62" s="13" t="s">
        <v>1687</v>
      </c>
      <c r="D62" s="13" t="s">
        <v>1552</v>
      </c>
      <c r="E62" s="16" t="s">
        <v>615</v>
      </c>
      <c r="F62" s="16">
        <v>-0.0002</v>
      </c>
      <c r="G62" s="16">
        <v>0.0751</v>
      </c>
      <c r="H62" s="16">
        <v>0.1134</v>
      </c>
      <c r="I62" s="47">
        <v>0.0732</v>
      </c>
      <c r="J62" s="48">
        <v>0.0086</v>
      </c>
      <c r="K62" s="16">
        <v>0.0629</v>
      </c>
      <c r="L62" s="16">
        <v>0.0616</v>
      </c>
      <c r="M62" s="13">
        <v>0.8632</v>
      </c>
      <c r="N62" s="50">
        <v>1.1625</v>
      </c>
    </row>
    <row r="63" ht="15.6" customHeight="1" spans="1:14">
      <c r="A63" s="12" t="s">
        <v>619</v>
      </c>
      <c r="B63" s="13" t="s">
        <v>38</v>
      </c>
      <c r="C63" s="13" t="s">
        <v>1688</v>
      </c>
      <c r="D63" s="13" t="s">
        <v>1543</v>
      </c>
      <c r="E63" s="16" t="s">
        <v>1689</v>
      </c>
      <c r="F63" s="16">
        <v>-0.0005</v>
      </c>
      <c r="G63" s="16">
        <v>-0.0228</v>
      </c>
      <c r="H63" s="16">
        <v>-0.058</v>
      </c>
      <c r="I63" s="47">
        <v>0.0986</v>
      </c>
      <c r="J63" s="48">
        <v>0.0774</v>
      </c>
      <c r="K63" s="16">
        <v>0.0774</v>
      </c>
      <c r="L63" s="16">
        <v>0.0541</v>
      </c>
      <c r="M63" s="13">
        <v>1.454</v>
      </c>
      <c r="N63" s="50">
        <v>1.275</v>
      </c>
    </row>
    <row r="64" ht="15.6" customHeight="1" spans="1:14">
      <c r="A64" s="12" t="s">
        <v>1690</v>
      </c>
      <c r="B64" s="13" t="s">
        <v>61</v>
      </c>
      <c r="C64" s="13" t="s">
        <v>1691</v>
      </c>
      <c r="D64" s="13" t="s">
        <v>1543</v>
      </c>
      <c r="E64" s="16" t="s">
        <v>1692</v>
      </c>
      <c r="F64" s="16">
        <v>-0.0009</v>
      </c>
      <c r="G64" s="16">
        <v>-0.0019</v>
      </c>
      <c r="H64" s="16">
        <v>0.028</v>
      </c>
      <c r="I64" s="47">
        <v>0.0317</v>
      </c>
      <c r="J64" s="48">
        <v>0.0036</v>
      </c>
      <c r="K64" s="16">
        <v>0.0649</v>
      </c>
      <c r="L64" s="16">
        <v>0.0363</v>
      </c>
      <c r="M64" s="13">
        <v>0.3232</v>
      </c>
      <c r="N64" s="50">
        <v>0.4894</v>
      </c>
    </row>
    <row r="65" ht="15.6" customHeight="1" spans="1:14">
      <c r="A65" s="12" t="s">
        <v>1693</v>
      </c>
      <c r="B65" s="13" t="s">
        <v>54</v>
      </c>
      <c r="C65" s="13" t="s">
        <v>1694</v>
      </c>
      <c r="D65" s="13" t="s">
        <v>1552</v>
      </c>
      <c r="E65" s="16" t="s">
        <v>1695</v>
      </c>
      <c r="F65" s="16">
        <v>-0.0009</v>
      </c>
      <c r="G65" s="16">
        <v>0.001</v>
      </c>
      <c r="H65" s="16">
        <v>0.0188</v>
      </c>
      <c r="I65" s="47">
        <v>0.1007</v>
      </c>
      <c r="J65" s="48">
        <v>0.0071</v>
      </c>
      <c r="K65" s="16">
        <v>0.0611</v>
      </c>
      <c r="L65" s="16">
        <v>0.0433</v>
      </c>
      <c r="M65" s="13">
        <v>1.8645</v>
      </c>
      <c r="N65" s="50">
        <v>1.6468</v>
      </c>
    </row>
    <row r="66" ht="15.6" customHeight="1" spans="1:14">
      <c r="A66" s="12" t="s">
        <v>636</v>
      </c>
      <c r="B66" s="13" t="s">
        <v>61</v>
      </c>
      <c r="C66" s="13" t="s">
        <v>1696</v>
      </c>
      <c r="D66" s="13" t="s">
        <v>1546</v>
      </c>
      <c r="E66" s="16" t="s">
        <v>1508</v>
      </c>
      <c r="F66" s="16">
        <v>-0.0009</v>
      </c>
      <c r="G66" s="16">
        <v>-0.0092</v>
      </c>
      <c r="H66" s="16">
        <v>0.0066</v>
      </c>
      <c r="I66" s="47">
        <v>0.0706</v>
      </c>
      <c r="J66" s="48">
        <v>0.0402</v>
      </c>
      <c r="K66" s="16">
        <v>0.0402</v>
      </c>
      <c r="L66" s="16">
        <v>0.0317</v>
      </c>
      <c r="M66" s="13">
        <v>1.5958</v>
      </c>
      <c r="N66" s="50">
        <v>1.756</v>
      </c>
    </row>
    <row r="67" ht="15.6" customHeight="1" spans="1:14">
      <c r="A67" s="12" t="s">
        <v>1697</v>
      </c>
      <c r="B67" s="13" t="s">
        <v>217</v>
      </c>
      <c r="C67" s="13" t="s">
        <v>1698</v>
      </c>
      <c r="D67" s="13" t="s">
        <v>1549</v>
      </c>
      <c r="E67" s="16" t="s">
        <v>1699</v>
      </c>
      <c r="F67" s="16">
        <v>-0.001</v>
      </c>
      <c r="G67" s="16">
        <v>0.0045</v>
      </c>
      <c r="H67" s="16">
        <v>0.0491</v>
      </c>
      <c r="I67" s="47">
        <v>0.0795</v>
      </c>
      <c r="J67" s="48">
        <v>0.0097</v>
      </c>
      <c r="K67" s="16">
        <v>0.0507</v>
      </c>
      <c r="L67" s="16">
        <v>0.0494</v>
      </c>
      <c r="M67" s="13">
        <v>1.2055</v>
      </c>
      <c r="N67" s="50">
        <v>1.5669</v>
      </c>
    </row>
    <row r="68" ht="15.6" customHeight="1" spans="1:14">
      <c r="A68" s="12" t="s">
        <v>1700</v>
      </c>
      <c r="B68" s="13" t="s">
        <v>30</v>
      </c>
      <c r="C68" s="13" t="s">
        <v>1701</v>
      </c>
      <c r="D68" s="13" t="s">
        <v>1552</v>
      </c>
      <c r="E68" s="16" t="s">
        <v>1702</v>
      </c>
      <c r="F68" s="16">
        <v>-0.001</v>
      </c>
      <c r="G68" s="16">
        <v>0.0079</v>
      </c>
      <c r="H68" s="16">
        <v>-0.0146</v>
      </c>
      <c r="I68" s="47">
        <v>0.0303</v>
      </c>
      <c r="J68" s="48">
        <v>0.0268</v>
      </c>
      <c r="K68" s="16">
        <v>0.0291</v>
      </c>
      <c r="L68" s="16">
        <v>0.0258</v>
      </c>
      <c r="M68" s="13">
        <v>0.3982</v>
      </c>
      <c r="N68" s="50">
        <v>1.0406</v>
      </c>
    </row>
    <row r="69" ht="15.6" customHeight="1" spans="1:14">
      <c r="A69" s="12" t="s">
        <v>762</v>
      </c>
      <c r="B69" s="13" t="s">
        <v>156</v>
      </c>
      <c r="C69" s="13" t="s">
        <v>1703</v>
      </c>
      <c r="D69" s="13" t="s">
        <v>1543</v>
      </c>
      <c r="E69" s="16" t="s">
        <v>1704</v>
      </c>
      <c r="F69" s="16">
        <v>-0.0011</v>
      </c>
      <c r="G69" s="16">
        <v>0.0026</v>
      </c>
      <c r="H69" s="16">
        <v>0.0612</v>
      </c>
      <c r="I69" s="47">
        <v>0.1649</v>
      </c>
      <c r="J69" s="48">
        <v>0.0054</v>
      </c>
      <c r="K69" s="16">
        <v>0.0303</v>
      </c>
      <c r="L69" s="16">
        <v>0.0604</v>
      </c>
      <c r="M69" s="13">
        <v>2.3986</v>
      </c>
      <c r="N69" s="50">
        <v>5.4339</v>
      </c>
    </row>
    <row r="70" ht="15.6" customHeight="1" spans="1:14">
      <c r="A70" s="12" t="s">
        <v>1705</v>
      </c>
      <c r="B70" s="13" t="s">
        <v>30</v>
      </c>
      <c r="C70" s="13" t="s">
        <v>1706</v>
      </c>
      <c r="D70" s="13" t="s">
        <v>1543</v>
      </c>
      <c r="E70" s="16" t="s">
        <v>1707</v>
      </c>
      <c r="F70" s="16">
        <v>-0.0013</v>
      </c>
      <c r="G70" s="16">
        <v>-0.0014</v>
      </c>
      <c r="H70" s="16">
        <v>0.0262</v>
      </c>
      <c r="I70" s="47">
        <v>0.0512</v>
      </c>
      <c r="J70" s="48">
        <v>0.0065</v>
      </c>
      <c r="K70" s="16">
        <v>0.0625</v>
      </c>
      <c r="L70" s="16">
        <v>0.0361</v>
      </c>
      <c r="M70" s="13">
        <v>0.8648</v>
      </c>
      <c r="N70" s="50">
        <v>0.8188</v>
      </c>
    </row>
    <row r="71" ht="15.6" customHeight="1" spans="1:14">
      <c r="A71" s="12" t="s">
        <v>1708</v>
      </c>
      <c r="B71" s="13" t="s">
        <v>30</v>
      </c>
      <c r="C71" s="13" t="s">
        <v>1709</v>
      </c>
      <c r="D71" s="13" t="s">
        <v>1549</v>
      </c>
      <c r="E71" s="16" t="s">
        <v>1710</v>
      </c>
      <c r="F71" s="16">
        <v>-0.0016</v>
      </c>
      <c r="G71" s="16">
        <v>-0.0118</v>
      </c>
      <c r="H71" s="16"/>
      <c r="I71" s="47">
        <v>-0.0572</v>
      </c>
      <c r="J71" s="48"/>
      <c r="K71" s="16">
        <v>0.0167</v>
      </c>
      <c r="L71" s="16">
        <v>0.0178</v>
      </c>
      <c r="M71" s="13">
        <v>-4.3472</v>
      </c>
      <c r="N71" s="50">
        <v>-3.4186</v>
      </c>
    </row>
    <row r="72" ht="15.6" customHeight="1" spans="1:14">
      <c r="A72" s="12" t="s">
        <v>1711</v>
      </c>
      <c r="B72" s="13" t="s">
        <v>61</v>
      </c>
      <c r="C72" s="13" t="s">
        <v>1712</v>
      </c>
      <c r="D72" s="13" t="s">
        <v>1549</v>
      </c>
      <c r="E72" s="16" t="s">
        <v>1713</v>
      </c>
      <c r="F72" s="16">
        <v>-0.0019</v>
      </c>
      <c r="G72" s="16">
        <v>0.0008</v>
      </c>
      <c r="H72" s="16">
        <v>0.068</v>
      </c>
      <c r="I72" s="47">
        <v>0.0791</v>
      </c>
      <c r="J72" s="48">
        <v>0.0187</v>
      </c>
      <c r="K72" s="16">
        <v>0.0677</v>
      </c>
      <c r="L72" s="16">
        <v>0.1091</v>
      </c>
      <c r="M72" s="13">
        <v>0.5418</v>
      </c>
      <c r="N72" s="50">
        <v>1.1691</v>
      </c>
    </row>
    <row r="73" ht="15.6" customHeight="1" spans="1:14">
      <c r="A73" s="12" t="s">
        <v>294</v>
      </c>
      <c r="B73" s="13" t="s">
        <v>61</v>
      </c>
      <c r="C73" s="13" t="s">
        <v>1714</v>
      </c>
      <c r="D73" s="13" t="s">
        <v>1549</v>
      </c>
      <c r="E73" s="16" t="s">
        <v>1568</v>
      </c>
      <c r="F73" s="16">
        <v>-0.0023</v>
      </c>
      <c r="G73" s="16">
        <v>0.0091</v>
      </c>
      <c r="H73" s="16">
        <v>0.0255</v>
      </c>
      <c r="I73" s="47">
        <v>0.0271</v>
      </c>
      <c r="J73" s="48">
        <v>0.0109</v>
      </c>
      <c r="K73" s="16">
        <v>0.0539</v>
      </c>
      <c r="L73" s="16">
        <v>0.0279</v>
      </c>
      <c r="M73" s="13">
        <v>0.2556</v>
      </c>
      <c r="N73" s="50">
        <v>0.5033</v>
      </c>
    </row>
    <row r="74" ht="15.6" customHeight="1" spans="1:14">
      <c r="A74" s="12" t="s">
        <v>1381</v>
      </c>
      <c r="B74" s="13" t="s">
        <v>61</v>
      </c>
      <c r="C74" s="13" t="s">
        <v>1715</v>
      </c>
      <c r="D74" s="13" t="s">
        <v>1543</v>
      </c>
      <c r="E74" s="16" t="s">
        <v>1716</v>
      </c>
      <c r="F74" s="16">
        <v>-0.0027</v>
      </c>
      <c r="G74" s="16">
        <v>0.0228</v>
      </c>
      <c r="H74" s="16">
        <v>0.0699</v>
      </c>
      <c r="I74" s="47">
        <v>0.1393</v>
      </c>
      <c r="J74" s="48">
        <v>0.0285</v>
      </c>
      <c r="K74" s="16">
        <v>0.0285</v>
      </c>
      <c r="L74" s="16">
        <v>0.06</v>
      </c>
      <c r="M74" s="13">
        <v>1.9868</v>
      </c>
      <c r="N74" s="50">
        <v>4.8902</v>
      </c>
    </row>
    <row r="75" ht="15.6" customHeight="1" spans="1:14">
      <c r="A75" s="12" t="s">
        <v>365</v>
      </c>
      <c r="B75" s="13" t="s">
        <v>156</v>
      </c>
      <c r="C75" s="13" t="s">
        <v>1717</v>
      </c>
      <c r="D75" s="13" t="s">
        <v>1552</v>
      </c>
      <c r="E75" s="16" t="s">
        <v>1718</v>
      </c>
      <c r="F75" s="16">
        <v>-0.0027</v>
      </c>
      <c r="G75" s="16">
        <v>-0.0779</v>
      </c>
      <c r="H75" s="16">
        <v>-0.0205</v>
      </c>
      <c r="I75" s="47">
        <v>0.0886</v>
      </c>
      <c r="J75" s="48">
        <v>0.1351</v>
      </c>
      <c r="K75" s="16">
        <v>0.1351</v>
      </c>
      <c r="L75" s="16">
        <v>0.111</v>
      </c>
      <c r="M75" s="13">
        <v>0.6177</v>
      </c>
      <c r="N75" s="50">
        <v>0.6555</v>
      </c>
    </row>
    <row r="76" ht="15.6" customHeight="1" spans="1:14">
      <c r="A76" s="12" t="s">
        <v>1719</v>
      </c>
      <c r="B76" s="13" t="s">
        <v>30</v>
      </c>
      <c r="C76" s="13" t="s">
        <v>1720</v>
      </c>
      <c r="D76" s="13" t="s">
        <v>1558</v>
      </c>
      <c r="E76" s="16" t="s">
        <v>1721</v>
      </c>
      <c r="F76" s="16">
        <v>-0.0029</v>
      </c>
      <c r="G76" s="16"/>
      <c r="H76" s="16">
        <v>0.0766</v>
      </c>
      <c r="I76" s="47">
        <v>0.0913</v>
      </c>
      <c r="J76" s="48">
        <v>0.0082</v>
      </c>
      <c r="K76" s="16">
        <v>0.0182</v>
      </c>
      <c r="L76" s="16">
        <v>0.0355</v>
      </c>
      <c r="M76" s="13">
        <v>2.0089</v>
      </c>
      <c r="N76" s="50">
        <v>5.0228</v>
      </c>
    </row>
    <row r="77" ht="15.6" customHeight="1" spans="1:14">
      <c r="A77" s="12" t="s">
        <v>1722</v>
      </c>
      <c r="B77" s="13" t="s">
        <v>61</v>
      </c>
      <c r="C77" s="13" t="s">
        <v>1723</v>
      </c>
      <c r="D77" s="13" t="s">
        <v>1552</v>
      </c>
      <c r="E77" s="16" t="s">
        <v>1724</v>
      </c>
      <c r="F77" s="16">
        <v>-0.0034</v>
      </c>
      <c r="G77" s="16">
        <v>0.0041</v>
      </c>
      <c r="H77" s="16">
        <v>0.0379</v>
      </c>
      <c r="I77" s="47">
        <v>0.1092</v>
      </c>
      <c r="J77" s="48">
        <v>0.0552</v>
      </c>
      <c r="K77" s="16">
        <v>0.0552</v>
      </c>
      <c r="L77" s="16">
        <v>0.0721</v>
      </c>
      <c r="M77" s="13">
        <v>1.2373</v>
      </c>
      <c r="N77" s="50">
        <v>1.9786</v>
      </c>
    </row>
    <row r="78" ht="15.6" customHeight="1" spans="1:14">
      <c r="A78" s="12" t="s">
        <v>1457</v>
      </c>
      <c r="B78" s="13" t="s">
        <v>38</v>
      </c>
      <c r="C78" s="13" t="s">
        <v>1725</v>
      </c>
      <c r="D78" s="13" t="s">
        <v>1552</v>
      </c>
      <c r="E78" s="16" t="s">
        <v>1726</v>
      </c>
      <c r="F78" s="16">
        <v>-0.0034</v>
      </c>
      <c r="G78" s="16">
        <v>-0.0008</v>
      </c>
      <c r="H78" s="16">
        <v>0.0595</v>
      </c>
      <c r="I78" s="47">
        <v>0.0712</v>
      </c>
      <c r="J78" s="48">
        <v>0.0042</v>
      </c>
      <c r="K78" s="16">
        <v>0.013</v>
      </c>
      <c r="L78" s="16">
        <v>0.0234</v>
      </c>
      <c r="M78" s="13">
        <v>2.1901</v>
      </c>
      <c r="N78" s="50">
        <v>5.473</v>
      </c>
    </row>
    <row r="79" ht="15.6" customHeight="1" spans="1:14">
      <c r="A79" s="12" t="s">
        <v>1369</v>
      </c>
      <c r="B79" s="13" t="s">
        <v>38</v>
      </c>
      <c r="C79" s="13" t="s">
        <v>1727</v>
      </c>
      <c r="D79" s="13" t="s">
        <v>1552</v>
      </c>
      <c r="E79" s="16" t="s">
        <v>1728</v>
      </c>
      <c r="F79" s="16">
        <v>-0.0036</v>
      </c>
      <c r="G79" s="16">
        <v>0.013</v>
      </c>
      <c r="H79" s="16">
        <v>0.0539</v>
      </c>
      <c r="I79" s="47">
        <v>0.0332</v>
      </c>
      <c r="J79" s="48">
        <v>0.0255</v>
      </c>
      <c r="K79" s="16">
        <v>0.039</v>
      </c>
      <c r="L79" s="16">
        <v>0.0471</v>
      </c>
      <c r="M79" s="13">
        <v>0.2796</v>
      </c>
      <c r="N79" s="50">
        <v>0.8508</v>
      </c>
    </row>
    <row r="80" ht="15.6" customHeight="1" spans="1:14">
      <c r="A80" s="12" t="s">
        <v>777</v>
      </c>
      <c r="B80" s="13" t="s">
        <v>54</v>
      </c>
      <c r="C80" s="13" t="s">
        <v>1729</v>
      </c>
      <c r="D80" s="13" t="s">
        <v>1552</v>
      </c>
      <c r="E80" s="16" t="s">
        <v>1730</v>
      </c>
      <c r="F80" s="16">
        <v>-0.0041</v>
      </c>
      <c r="G80" s="16">
        <v>0.002</v>
      </c>
      <c r="H80" s="16">
        <v>0.0493</v>
      </c>
      <c r="I80" s="47">
        <v>0.0651</v>
      </c>
      <c r="J80" s="48">
        <v>0.007</v>
      </c>
      <c r="K80" s="16">
        <v>0.0422</v>
      </c>
      <c r="L80" s="16">
        <v>0.0321</v>
      </c>
      <c r="M80" s="13">
        <v>1.4049</v>
      </c>
      <c r="N80" s="50">
        <v>1.5412</v>
      </c>
    </row>
    <row r="81" ht="15.6" customHeight="1" spans="1:14">
      <c r="A81" s="12" t="s">
        <v>1329</v>
      </c>
      <c r="B81" s="13" t="s">
        <v>38</v>
      </c>
      <c r="C81" s="13" t="s">
        <v>1731</v>
      </c>
      <c r="D81" s="13" t="s">
        <v>1552</v>
      </c>
      <c r="E81" s="16" t="s">
        <v>1333</v>
      </c>
      <c r="F81" s="16">
        <v>-0.0041</v>
      </c>
      <c r="G81" s="16">
        <v>0.0048</v>
      </c>
      <c r="H81" s="16">
        <v>0.0357</v>
      </c>
      <c r="I81" s="47">
        <v>0.0627</v>
      </c>
      <c r="J81" s="48">
        <v>0.0105</v>
      </c>
      <c r="K81" s="16">
        <v>0.0105</v>
      </c>
      <c r="L81" s="16">
        <v>0.0269</v>
      </c>
      <c r="M81" s="13">
        <v>1.5879</v>
      </c>
      <c r="N81" s="50">
        <v>5.9764</v>
      </c>
    </row>
    <row r="82" ht="15.6" customHeight="1" spans="1:14">
      <c r="A82" s="12" t="s">
        <v>322</v>
      </c>
      <c r="B82" s="13" t="s">
        <v>54</v>
      </c>
      <c r="C82" s="13" t="s">
        <v>1732</v>
      </c>
      <c r="D82" s="13" t="s">
        <v>1543</v>
      </c>
      <c r="E82" s="16" t="s">
        <v>1733</v>
      </c>
      <c r="F82" s="16">
        <v>-0.0041</v>
      </c>
      <c r="G82" s="16">
        <v>-0.0049</v>
      </c>
      <c r="H82" s="16">
        <v>0.0058</v>
      </c>
      <c r="I82" s="47">
        <v>0.0718</v>
      </c>
      <c r="J82" s="48">
        <v>0.0122</v>
      </c>
      <c r="K82" s="16">
        <v>0.0546</v>
      </c>
      <c r="L82" s="16">
        <v>0.0406</v>
      </c>
      <c r="M82" s="13">
        <v>1.2765</v>
      </c>
      <c r="N82" s="50">
        <v>1.3169</v>
      </c>
    </row>
    <row r="83" ht="15.6" customHeight="1" spans="1:14">
      <c r="A83" s="12" t="s">
        <v>1734</v>
      </c>
      <c r="B83" s="13" t="s">
        <v>61</v>
      </c>
      <c r="C83" s="13" t="s">
        <v>1735</v>
      </c>
      <c r="D83" s="13" t="s">
        <v>1552</v>
      </c>
      <c r="E83" s="16" t="s">
        <v>1736</v>
      </c>
      <c r="F83" s="16">
        <v>-0.0053</v>
      </c>
      <c r="G83" s="16">
        <v>-0.0099</v>
      </c>
      <c r="H83" s="16">
        <v>0.0345</v>
      </c>
      <c r="I83" s="47">
        <v>0.0791</v>
      </c>
      <c r="J83" s="48">
        <v>0.0164</v>
      </c>
      <c r="K83" s="16">
        <v>0.0247</v>
      </c>
      <c r="L83" s="16">
        <v>0.0408</v>
      </c>
      <c r="M83" s="13">
        <v>1.449</v>
      </c>
      <c r="N83" s="50">
        <v>3.1964</v>
      </c>
    </row>
    <row r="84" ht="15.6" customHeight="1" spans="1:14">
      <c r="A84" s="12" t="s">
        <v>1737</v>
      </c>
      <c r="B84" s="13" t="s">
        <v>30</v>
      </c>
      <c r="C84" s="13" t="s">
        <v>1738</v>
      </c>
      <c r="D84" s="13" t="s">
        <v>1543</v>
      </c>
      <c r="E84" s="16" t="s">
        <v>1739</v>
      </c>
      <c r="F84" s="16">
        <v>-0.0078</v>
      </c>
      <c r="G84" s="16">
        <v>-0.004</v>
      </c>
      <c r="H84" s="16">
        <v>0.0702</v>
      </c>
      <c r="I84" s="47">
        <v>0.1633</v>
      </c>
      <c r="J84" s="48">
        <v>0.0202</v>
      </c>
      <c r="K84" s="16">
        <v>0.0413</v>
      </c>
      <c r="L84" s="16">
        <v>0.0812</v>
      </c>
      <c r="M84" s="13">
        <v>1.7649</v>
      </c>
      <c r="N84" s="50">
        <v>3.9551</v>
      </c>
    </row>
    <row r="85" ht="15.6" customHeight="1" spans="1:14">
      <c r="A85" s="12" t="s">
        <v>377</v>
      </c>
      <c r="B85" s="13" t="s">
        <v>156</v>
      </c>
      <c r="C85" s="13" t="s">
        <v>1740</v>
      </c>
      <c r="D85" s="13" t="s">
        <v>1552</v>
      </c>
      <c r="E85" s="16" t="s">
        <v>1741</v>
      </c>
      <c r="F85" s="16">
        <v>-0.0081</v>
      </c>
      <c r="G85" s="16">
        <v>-0.0223</v>
      </c>
      <c r="H85" s="16">
        <v>-0.059</v>
      </c>
      <c r="I85" s="47">
        <v>0.0337</v>
      </c>
      <c r="J85" s="48">
        <v>0.1455</v>
      </c>
      <c r="K85" s="16">
        <v>0.1455</v>
      </c>
      <c r="L85" s="16">
        <v>0.0949</v>
      </c>
      <c r="M85" s="13">
        <v>0.1446</v>
      </c>
      <c r="N85" s="50">
        <v>0.2317</v>
      </c>
    </row>
    <row r="86" ht="15.6" customHeight="1" spans="1:14">
      <c r="A86" s="12" t="s">
        <v>1509</v>
      </c>
      <c r="B86" s="13" t="s">
        <v>54</v>
      </c>
      <c r="C86" s="13" t="s">
        <v>1742</v>
      </c>
      <c r="D86" s="13" t="s">
        <v>1543</v>
      </c>
      <c r="E86" s="16" t="s">
        <v>1743</v>
      </c>
      <c r="F86" s="16">
        <v>-0.0092</v>
      </c>
      <c r="G86" s="16">
        <v>-0.0222</v>
      </c>
      <c r="H86" s="16">
        <v>-0.0838</v>
      </c>
      <c r="I86" s="47">
        <v>0.0631</v>
      </c>
      <c r="J86" s="48">
        <v>0.1126</v>
      </c>
      <c r="K86" s="16">
        <v>0.1126</v>
      </c>
      <c r="L86" s="16">
        <v>0.0918</v>
      </c>
      <c r="M86" s="13">
        <v>0.4691</v>
      </c>
      <c r="N86" s="50">
        <v>0.5601</v>
      </c>
    </row>
    <row r="87" ht="15.6" customHeight="1" spans="1:14">
      <c r="A87" s="12" t="s">
        <v>951</v>
      </c>
      <c r="B87" s="13" t="s">
        <v>38</v>
      </c>
      <c r="C87" s="13" t="s">
        <v>1744</v>
      </c>
      <c r="D87" s="13" t="s">
        <v>1552</v>
      </c>
      <c r="E87" s="16" t="s">
        <v>1745</v>
      </c>
      <c r="F87" s="16">
        <v>-0.016</v>
      </c>
      <c r="G87" s="16">
        <v>-0.0116</v>
      </c>
      <c r="H87" s="16">
        <v>-0.0389</v>
      </c>
      <c r="I87" s="47">
        <v>0.0697</v>
      </c>
      <c r="J87" s="48">
        <v>0.0924</v>
      </c>
      <c r="K87" s="16">
        <v>0.098</v>
      </c>
      <c r="L87" s="16">
        <v>0.076</v>
      </c>
      <c r="M87" s="13">
        <v>0.6544</v>
      </c>
      <c r="N87" s="50">
        <v>0.7112</v>
      </c>
    </row>
    <row r="88" ht="15.6" customHeight="1" spans="1:14">
      <c r="A88" s="12" t="s">
        <v>64</v>
      </c>
      <c r="B88" s="13" t="s">
        <v>30</v>
      </c>
      <c r="C88" s="13" t="s">
        <v>1746</v>
      </c>
      <c r="D88" s="13" t="s">
        <v>1543</v>
      </c>
      <c r="E88" s="16" t="s">
        <v>1747</v>
      </c>
      <c r="F88" s="16">
        <v>-0.0235</v>
      </c>
      <c r="G88" s="16">
        <v>-0.027</v>
      </c>
      <c r="H88" s="16">
        <v>0.0136</v>
      </c>
      <c r="I88" s="47">
        <v>0.0337</v>
      </c>
      <c r="J88" s="48">
        <v>0.0281</v>
      </c>
      <c r="K88" s="16">
        <v>0.0439</v>
      </c>
      <c r="L88" s="16">
        <v>0.0631</v>
      </c>
      <c r="M88" s="13">
        <v>0.218</v>
      </c>
      <c r="N88" s="50">
        <v>0.769</v>
      </c>
    </row>
    <row r="89" ht="15.6" customHeight="1" spans="1:14">
      <c r="A89" s="12" t="s">
        <v>1748</v>
      </c>
      <c r="B89" s="13" t="s">
        <v>30</v>
      </c>
      <c r="C89" s="13" t="s">
        <v>1749</v>
      </c>
      <c r="D89" s="13" t="s">
        <v>1552</v>
      </c>
      <c r="E89" s="16" t="s">
        <v>1750</v>
      </c>
      <c r="F89" s="16">
        <v>-0.0303</v>
      </c>
      <c r="G89" s="16">
        <v>0.0457</v>
      </c>
      <c r="H89" s="16">
        <v>0.0997</v>
      </c>
      <c r="I89" s="47">
        <v>0.0728</v>
      </c>
      <c r="J89" s="48">
        <v>0.0495</v>
      </c>
      <c r="K89" s="16">
        <v>0.0495</v>
      </c>
      <c r="L89" s="16">
        <v>0.0606</v>
      </c>
      <c r="M89" s="13">
        <v>0.8713</v>
      </c>
      <c r="N89" s="50">
        <v>1.4702</v>
      </c>
    </row>
    <row r="90" ht="15.6" customHeight="1" spans="1:14">
      <c r="A90" s="12" t="s">
        <v>1751</v>
      </c>
      <c r="B90" s="13" t="s">
        <v>30</v>
      </c>
      <c r="C90" s="13" t="s">
        <v>1752</v>
      </c>
      <c r="D90" s="13" t="s">
        <v>1549</v>
      </c>
      <c r="E90" s="16" t="s">
        <v>1753</v>
      </c>
      <c r="F90" s="16">
        <v>-0.0476</v>
      </c>
      <c r="G90" s="16">
        <v>-0.0821</v>
      </c>
      <c r="H90" s="16">
        <v>-0.0955</v>
      </c>
      <c r="I90" s="47">
        <v>0.0153</v>
      </c>
      <c r="J90" s="48">
        <v>0.1401</v>
      </c>
      <c r="K90" s="16">
        <v>0.1401</v>
      </c>
      <c r="L90" s="16">
        <v>0.0792</v>
      </c>
      <c r="M90" s="13">
        <v>-0.0593</v>
      </c>
      <c r="N90" s="50">
        <v>0.1092</v>
      </c>
    </row>
    <row r="91" ht="15.6" customHeight="1" spans="1:14">
      <c r="A91" s="12"/>
      <c r="B91" s="13"/>
      <c r="C91" s="13"/>
      <c r="D91" s="13"/>
      <c r="E91" s="16"/>
      <c r="F91" s="16"/>
      <c r="G91" s="16"/>
      <c r="H91" s="16"/>
      <c r="I91" s="28"/>
      <c r="J91" s="48"/>
      <c r="K91" s="16"/>
      <c r="L91" s="16"/>
      <c r="M91" s="13"/>
      <c r="N91" s="51"/>
    </row>
    <row r="92" ht="15.6" customHeight="1" spans="1:14">
      <c r="A92" s="12"/>
      <c r="B92" s="13"/>
      <c r="C92" s="13"/>
      <c r="D92" s="13"/>
      <c r="E92" s="16"/>
      <c r="F92" s="16"/>
      <c r="G92" s="16"/>
      <c r="H92" s="16"/>
      <c r="I92" s="28"/>
      <c r="J92" s="48"/>
      <c r="K92" s="16"/>
      <c r="L92" s="16"/>
      <c r="M92" s="13"/>
      <c r="N92" s="51"/>
    </row>
    <row r="93" ht="15.6" customHeight="1" spans="1:14">
      <c r="A93" s="12"/>
      <c r="B93" s="13"/>
      <c r="C93" s="13"/>
      <c r="D93" s="13"/>
      <c r="E93" s="16"/>
      <c r="F93" s="16"/>
      <c r="G93" s="16"/>
      <c r="H93" s="16"/>
      <c r="I93" s="28"/>
      <c r="J93" s="48"/>
      <c r="K93" s="16"/>
      <c r="L93" s="16"/>
      <c r="M93" s="13"/>
      <c r="N93" s="51"/>
    </row>
    <row r="94" ht="15.6" customHeight="1" spans="1:14">
      <c r="A94" s="12"/>
      <c r="B94" s="13"/>
      <c r="C94" s="13"/>
      <c r="D94" s="13"/>
      <c r="E94" s="16"/>
      <c r="F94" s="16"/>
      <c r="G94" s="16"/>
      <c r="H94" s="16"/>
      <c r="I94" s="28"/>
      <c r="J94" s="48"/>
      <c r="K94" s="16"/>
      <c r="L94" s="16"/>
      <c r="M94" s="13"/>
      <c r="N94" s="51"/>
    </row>
    <row r="95" ht="15.6" customHeight="1" spans="1:14">
      <c r="A95" s="12"/>
      <c r="B95" s="13"/>
      <c r="C95" s="13"/>
      <c r="D95" s="13"/>
      <c r="E95" s="16"/>
      <c r="F95" s="16"/>
      <c r="G95" s="16"/>
      <c r="H95" s="16"/>
      <c r="I95" s="28"/>
      <c r="J95" s="48"/>
      <c r="K95" s="16"/>
      <c r="L95" s="16"/>
      <c r="M95" s="13"/>
      <c r="N95" s="51"/>
    </row>
    <row r="96" ht="15.6" customHeight="1" spans="1:14">
      <c r="A96" s="12"/>
      <c r="B96" s="13"/>
      <c r="C96" s="13"/>
      <c r="D96" s="13"/>
      <c r="E96" s="16"/>
      <c r="F96" s="16"/>
      <c r="G96" s="16"/>
      <c r="H96" s="16"/>
      <c r="I96" s="28"/>
      <c r="J96" s="48"/>
      <c r="K96" s="16"/>
      <c r="L96" s="16"/>
      <c r="M96" s="13"/>
      <c r="N96" s="51"/>
    </row>
    <row r="97" ht="15.6" customHeight="1" spans="1:14">
      <c r="A97" s="12"/>
      <c r="B97" s="13"/>
      <c r="C97" s="13"/>
      <c r="D97" s="13"/>
      <c r="E97" s="16"/>
      <c r="F97" s="16"/>
      <c r="G97" s="16"/>
      <c r="H97" s="16"/>
      <c r="I97" s="28"/>
      <c r="J97" s="48"/>
      <c r="K97" s="16"/>
      <c r="L97" s="16"/>
      <c r="M97" s="13"/>
      <c r="N97" s="51"/>
    </row>
    <row r="98" ht="15.6" customHeight="1" spans="1:14">
      <c r="A98" s="12"/>
      <c r="B98" s="13"/>
      <c r="C98" s="13"/>
      <c r="D98" s="13"/>
      <c r="E98" s="16"/>
      <c r="F98" s="16"/>
      <c r="G98" s="16"/>
      <c r="H98" s="16"/>
      <c r="I98" s="28"/>
      <c r="J98" s="48"/>
      <c r="K98" s="16"/>
      <c r="L98" s="16"/>
      <c r="M98" s="13"/>
      <c r="N98" s="51"/>
    </row>
    <row r="99" ht="15.6" customHeight="1" spans="1:14">
      <c r="A99" s="12"/>
      <c r="B99" s="13"/>
      <c r="C99" s="13"/>
      <c r="D99" s="13"/>
      <c r="E99" s="16"/>
      <c r="F99" s="16"/>
      <c r="G99" s="16"/>
      <c r="H99" s="16"/>
      <c r="I99" s="28"/>
      <c r="J99" s="48"/>
      <c r="K99" s="16"/>
      <c r="L99" s="16"/>
      <c r="M99" s="13"/>
      <c r="N99" s="51"/>
    </row>
    <row r="100" ht="15.6" customHeight="1" spans="1:14">
      <c r="A100" s="12"/>
      <c r="B100" s="13"/>
      <c r="C100" s="13"/>
      <c r="D100" s="13"/>
      <c r="E100" s="16"/>
      <c r="F100" s="16"/>
      <c r="G100" s="16"/>
      <c r="H100" s="16"/>
      <c r="I100" s="28"/>
      <c r="J100" s="52"/>
      <c r="K100" s="53"/>
      <c r="L100" s="53"/>
      <c r="M100" s="54"/>
      <c r="N100" s="55"/>
    </row>
  </sheetData>
  <mergeCells count="4">
    <mergeCell ref="A1:B1"/>
    <mergeCell ref="C1:E1"/>
    <mergeCell ref="F1:I1"/>
    <mergeCell ref="J1:K1"/>
  </mergeCells>
  <conditionalFormatting sqref="A3:E100 J3:N100">
    <cfRule type="expression" dxfId="0" priority="2">
      <formula>MOD(ROW(),2)=0</formula>
    </cfRule>
  </conditionalFormatting>
  <conditionalFormatting sqref="F3:I100">
    <cfRule type="expression" dxfId="0" priority="1">
      <formula>MOD(ROW(),2)=0</formula>
    </cfRule>
  </conditionalFormatting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W100"/>
  <sheetViews>
    <sheetView workbookViewId="0">
      <pane ySplit="2" topLeftCell="A3" activePane="bottomLeft" state="frozen"/>
      <selection/>
      <selection pane="bottomLeft" activeCell="N1" sqref="N1:W4"/>
    </sheetView>
  </sheetViews>
  <sheetFormatPr defaultColWidth="9" defaultRowHeight="14.4"/>
  <cols>
    <col min="1" max="1" width="16.8888888888889" customWidth="1"/>
    <col min="3" max="3" width="25.1111111111111" customWidth="1"/>
    <col min="4" max="4" width="10.6666666666667" customWidth="1"/>
  </cols>
  <sheetData>
    <row r="1" ht="31.2" customHeight="1" spans="1:23">
      <c r="A1" s="1" t="s">
        <v>0</v>
      </c>
      <c r="B1" s="2"/>
      <c r="C1" s="3" t="s">
        <v>1</v>
      </c>
      <c r="D1" s="4"/>
      <c r="E1" s="5"/>
      <c r="F1" s="6" t="s">
        <v>2</v>
      </c>
      <c r="G1" s="7"/>
      <c r="H1" s="7"/>
      <c r="I1" s="2"/>
      <c r="J1" s="17" t="s">
        <v>3</v>
      </c>
      <c r="K1" s="2"/>
      <c r="L1" s="18" t="s">
        <v>4</v>
      </c>
      <c r="M1" s="19" t="s">
        <v>5</v>
      </c>
      <c r="N1" s="20" t="s">
        <v>6</v>
      </c>
      <c r="O1" s="21" t="s">
        <v>7</v>
      </c>
      <c r="P1" s="21" t="s">
        <v>8</v>
      </c>
      <c r="Q1" s="21" t="s">
        <v>9</v>
      </c>
      <c r="R1" s="30" t="s">
        <v>10</v>
      </c>
      <c r="S1" s="31" t="s">
        <v>11</v>
      </c>
      <c r="T1" s="32" t="s">
        <v>12</v>
      </c>
      <c r="U1" s="32" t="s">
        <v>13</v>
      </c>
      <c r="V1" s="32" t="s">
        <v>14</v>
      </c>
      <c r="W1" s="33" t="s">
        <v>15</v>
      </c>
    </row>
    <row r="2" ht="47.55" customHeight="1" spans="1:23">
      <c r="A2" s="8" t="s">
        <v>16</v>
      </c>
      <c r="B2" s="9" t="s">
        <v>17</v>
      </c>
      <c r="C2" s="10" t="s">
        <v>18</v>
      </c>
      <c r="D2" s="10" t="s">
        <v>19</v>
      </c>
      <c r="E2" s="10" t="s">
        <v>20</v>
      </c>
      <c r="F2" s="11" t="s">
        <v>21</v>
      </c>
      <c r="G2" s="11" t="s">
        <v>22</v>
      </c>
      <c r="H2" s="11" t="s">
        <v>23</v>
      </c>
      <c r="I2" s="11" t="s">
        <v>24</v>
      </c>
      <c r="J2" s="22" t="s">
        <v>25</v>
      </c>
      <c r="K2" s="22" t="s">
        <v>26</v>
      </c>
      <c r="L2" s="23" t="s">
        <v>27</v>
      </c>
      <c r="M2" s="24" t="s">
        <v>28</v>
      </c>
      <c r="N2" s="25">
        <f>QUARTILE(F3:F200,4)</f>
        <v>0.0493</v>
      </c>
      <c r="O2" s="26">
        <f>QUARTILE(F3:F200,3)</f>
        <v>0.0106</v>
      </c>
      <c r="P2" s="26">
        <f>QUARTILE(F3:F200,2)</f>
        <v>0.0032</v>
      </c>
      <c r="Q2" s="26">
        <f>QUARTILE(F3:F200,1)</f>
        <v>-0.00245</v>
      </c>
      <c r="R2" s="34">
        <f>QUARTILE(F3:F200,0)</f>
        <v>-0.0958</v>
      </c>
      <c r="S2" s="25">
        <f>QUARTILE(H3:H200,4)</f>
        <v>0.2452</v>
      </c>
      <c r="T2" s="26">
        <f>QUARTILE(H3:H200,3)</f>
        <v>0.051</v>
      </c>
      <c r="U2" s="26">
        <f>QUARTILE(H3:H200,2)</f>
        <v>0.0243</v>
      </c>
      <c r="V2" s="26">
        <f>QUARTILE(H3:H200,1)</f>
        <v>-0.0013</v>
      </c>
      <c r="W2" s="34">
        <f>QUARTILE(H3:H200,0)</f>
        <v>-0.2959</v>
      </c>
    </row>
    <row r="3" ht="15.6" customHeight="1" spans="1:13">
      <c r="A3" s="12" t="s">
        <v>1754</v>
      </c>
      <c r="B3" s="13" t="s">
        <v>38</v>
      </c>
      <c r="C3" s="14" t="s">
        <v>1755</v>
      </c>
      <c r="D3" s="14" t="s">
        <v>1756</v>
      </c>
      <c r="E3" s="15" t="s">
        <v>1757</v>
      </c>
      <c r="F3" s="16">
        <v>0.0493</v>
      </c>
      <c r="G3" s="16">
        <v>0.0612</v>
      </c>
      <c r="H3" s="16">
        <v>0.0789</v>
      </c>
      <c r="I3" s="27">
        <v>0.0582</v>
      </c>
      <c r="J3" s="16">
        <v>0.0159</v>
      </c>
      <c r="K3" s="16">
        <v>0.0191</v>
      </c>
      <c r="L3" s="16">
        <v>0.0433</v>
      </c>
      <c r="M3" s="29">
        <v>0.8824</v>
      </c>
    </row>
    <row r="4" ht="15.6" customHeight="1" spans="1:13">
      <c r="A4" s="12" t="s">
        <v>1758</v>
      </c>
      <c r="B4" s="13" t="s">
        <v>54</v>
      </c>
      <c r="C4" s="13" t="s">
        <v>1759</v>
      </c>
      <c r="D4" s="13" t="s">
        <v>1756</v>
      </c>
      <c r="E4" s="16" t="s">
        <v>1760</v>
      </c>
      <c r="F4" s="16">
        <v>0.0472</v>
      </c>
      <c r="G4" s="16">
        <v>-0.1963</v>
      </c>
      <c r="H4" s="16">
        <v>-0.2411</v>
      </c>
      <c r="I4" s="27">
        <v>0.2375</v>
      </c>
      <c r="J4" s="16">
        <v>0.376</v>
      </c>
      <c r="K4" s="16">
        <v>0.3832</v>
      </c>
      <c r="L4" s="16">
        <v>0.3221</v>
      </c>
      <c r="M4" s="29">
        <v>0.6752</v>
      </c>
    </row>
    <row r="5" ht="15.6" customHeight="1" spans="1:13">
      <c r="A5" s="12" t="s">
        <v>1761</v>
      </c>
      <c r="B5" s="13" t="s">
        <v>30</v>
      </c>
      <c r="C5" s="13" t="s">
        <v>1762</v>
      </c>
      <c r="D5" s="13" t="s">
        <v>1756</v>
      </c>
      <c r="E5" s="16" t="s">
        <v>1763</v>
      </c>
      <c r="F5" s="16">
        <v>0.0383</v>
      </c>
      <c r="G5" s="16">
        <v>-0.1333</v>
      </c>
      <c r="H5" s="16">
        <v>-0.2959</v>
      </c>
      <c r="I5" s="27">
        <v>0.2269</v>
      </c>
      <c r="J5" s="16">
        <v>0.3625</v>
      </c>
      <c r="K5" s="16">
        <v>0.3625</v>
      </c>
      <c r="L5" s="16">
        <v>0.3109</v>
      </c>
      <c r="M5" s="29">
        <v>0.6657</v>
      </c>
    </row>
    <row r="6" ht="15.6" customHeight="1" spans="1:13">
      <c r="A6" s="12" t="s">
        <v>1764</v>
      </c>
      <c r="B6" s="13" t="s">
        <v>30</v>
      </c>
      <c r="C6" s="13" t="s">
        <v>1765</v>
      </c>
      <c r="D6" s="13" t="s">
        <v>1756</v>
      </c>
      <c r="E6" s="16" t="s">
        <v>1766</v>
      </c>
      <c r="F6" s="16">
        <v>0.0258</v>
      </c>
      <c r="G6" s="16">
        <v>-0.0395</v>
      </c>
      <c r="H6" s="16">
        <v>-0.0667</v>
      </c>
      <c r="I6" s="27">
        <v>0.2118</v>
      </c>
      <c r="J6" s="16">
        <v>0.2306</v>
      </c>
      <c r="K6" s="16">
        <v>0.3443</v>
      </c>
      <c r="L6" s="16">
        <v>0.27</v>
      </c>
      <c r="M6" s="29">
        <v>0.7102</v>
      </c>
    </row>
    <row r="7" ht="15.6" customHeight="1" spans="1:13">
      <c r="A7" s="12" t="s">
        <v>1434</v>
      </c>
      <c r="B7" s="13" t="s">
        <v>54</v>
      </c>
      <c r="C7" s="13" t="s">
        <v>1767</v>
      </c>
      <c r="D7" s="13" t="s">
        <v>1756</v>
      </c>
      <c r="E7" s="16" t="s">
        <v>1664</v>
      </c>
      <c r="F7" s="16">
        <v>0.0197</v>
      </c>
      <c r="G7" s="16">
        <v>-0.1022</v>
      </c>
      <c r="H7" s="16">
        <v>-0.0491</v>
      </c>
      <c r="I7" s="27">
        <v>0.093</v>
      </c>
      <c r="J7" s="16">
        <v>0.2086</v>
      </c>
      <c r="K7" s="16">
        <v>0.2086</v>
      </c>
      <c r="L7" s="16">
        <v>0.1858</v>
      </c>
      <c r="M7" s="29">
        <v>0.3927</v>
      </c>
    </row>
    <row r="8" ht="15.6" customHeight="1" spans="1:13">
      <c r="A8" s="12" t="s">
        <v>633</v>
      </c>
      <c r="B8" s="13" t="s">
        <v>30</v>
      </c>
      <c r="C8" s="13" t="s">
        <v>1768</v>
      </c>
      <c r="D8" s="13" t="s">
        <v>1756</v>
      </c>
      <c r="E8" s="16" t="s">
        <v>685</v>
      </c>
      <c r="F8" s="16">
        <v>0.0179</v>
      </c>
      <c r="G8" s="16"/>
      <c r="H8" s="16">
        <v>0.1895</v>
      </c>
      <c r="I8" s="27">
        <v>0.3998</v>
      </c>
      <c r="J8" s="16">
        <v>0.1886</v>
      </c>
      <c r="K8" s="16">
        <v>0.1886</v>
      </c>
      <c r="L8" s="16">
        <v>0.2448</v>
      </c>
      <c r="M8" s="29">
        <v>1.5515</v>
      </c>
    </row>
    <row r="9" ht="15.6" customHeight="1" spans="1:13">
      <c r="A9" s="12" t="s">
        <v>1292</v>
      </c>
      <c r="B9" s="13" t="s">
        <v>30</v>
      </c>
      <c r="C9" s="13" t="s">
        <v>1769</v>
      </c>
      <c r="D9" s="13" t="s">
        <v>1756</v>
      </c>
      <c r="E9" s="16" t="s">
        <v>1770</v>
      </c>
      <c r="F9" s="16">
        <v>0.0175</v>
      </c>
      <c r="G9" s="16">
        <v>-0.0752</v>
      </c>
      <c r="H9" s="16">
        <v>-0.036</v>
      </c>
      <c r="I9" s="27">
        <v>0.0627</v>
      </c>
      <c r="J9" s="16">
        <v>0.1402</v>
      </c>
      <c r="K9" s="16">
        <v>0.2027</v>
      </c>
      <c r="L9" s="16">
        <v>0.1121</v>
      </c>
      <c r="M9" s="29">
        <v>0.381</v>
      </c>
    </row>
    <row r="10" ht="15.6" customHeight="1" spans="1:13">
      <c r="A10" s="12" t="s">
        <v>1461</v>
      </c>
      <c r="B10" s="13" t="s">
        <v>54</v>
      </c>
      <c r="C10" s="13" t="s">
        <v>1771</v>
      </c>
      <c r="D10" s="13" t="s">
        <v>1756</v>
      </c>
      <c r="E10" s="16" t="s">
        <v>1772</v>
      </c>
      <c r="F10" s="16">
        <v>0.0163</v>
      </c>
      <c r="G10" s="16">
        <v>-0.0273</v>
      </c>
      <c r="H10" s="16">
        <v>0.0052</v>
      </c>
      <c r="I10" s="27">
        <v>0.1378</v>
      </c>
      <c r="J10" s="16">
        <v>0.0771</v>
      </c>
      <c r="K10" s="16">
        <v>0.0771</v>
      </c>
      <c r="L10" s="16">
        <v>0.0892</v>
      </c>
      <c r="M10" s="29">
        <v>1.321</v>
      </c>
    </row>
    <row r="11" ht="15.6" customHeight="1" spans="1:13">
      <c r="A11" s="12" t="s">
        <v>1773</v>
      </c>
      <c r="B11" s="13" t="s">
        <v>30</v>
      </c>
      <c r="C11" s="13" t="s">
        <v>1774</v>
      </c>
      <c r="D11" s="13" t="s">
        <v>1756</v>
      </c>
      <c r="E11" s="16" t="s">
        <v>1775</v>
      </c>
      <c r="F11" s="16">
        <v>0.0161</v>
      </c>
      <c r="G11" s="16">
        <v>-0.1669</v>
      </c>
      <c r="H11" s="16">
        <v>-0.0202</v>
      </c>
      <c r="I11" s="27">
        <v>0.1754</v>
      </c>
      <c r="J11" s="16">
        <v>0.2883</v>
      </c>
      <c r="K11" s="16">
        <v>0.3955</v>
      </c>
      <c r="L11" s="16">
        <v>0.2335</v>
      </c>
      <c r="M11" s="29">
        <v>0.6655</v>
      </c>
    </row>
    <row r="12" ht="15.6" customHeight="1" spans="1:13">
      <c r="A12" s="12" t="s">
        <v>851</v>
      </c>
      <c r="B12" s="13" t="s">
        <v>61</v>
      </c>
      <c r="C12" s="13" t="s">
        <v>1776</v>
      </c>
      <c r="D12" s="13" t="s">
        <v>1756</v>
      </c>
      <c r="E12" s="16" t="s">
        <v>1777</v>
      </c>
      <c r="F12" s="16">
        <v>0.0159</v>
      </c>
      <c r="G12" s="16">
        <v>-0.1255</v>
      </c>
      <c r="H12" s="16">
        <v>-0.0472</v>
      </c>
      <c r="I12" s="27">
        <v>0.2828</v>
      </c>
      <c r="J12" s="16">
        <v>0.2348</v>
      </c>
      <c r="K12" s="16">
        <v>0.2348</v>
      </c>
      <c r="L12" s="16">
        <v>0.2315</v>
      </c>
      <c r="M12" s="29">
        <v>1.1353</v>
      </c>
    </row>
    <row r="13" ht="15.6" customHeight="1" spans="1:13">
      <c r="A13" s="12" t="s">
        <v>1778</v>
      </c>
      <c r="B13" s="13" t="s">
        <v>30</v>
      </c>
      <c r="C13" s="13" t="s">
        <v>1779</v>
      </c>
      <c r="D13" s="13" t="s">
        <v>1756</v>
      </c>
      <c r="E13" s="16" t="s">
        <v>1780</v>
      </c>
      <c r="F13" s="16">
        <v>0.0132</v>
      </c>
      <c r="G13" s="16">
        <v>-0.0037</v>
      </c>
      <c r="H13" s="16">
        <v>-0.0013</v>
      </c>
      <c r="I13" s="27">
        <v>0.2134</v>
      </c>
      <c r="J13" s="16">
        <v>0.1182</v>
      </c>
      <c r="K13" s="16">
        <v>0.1338</v>
      </c>
      <c r="L13" s="16">
        <v>0.1743</v>
      </c>
      <c r="M13" s="29">
        <v>1.1095</v>
      </c>
    </row>
    <row r="14" ht="15.6" customHeight="1" spans="1:13">
      <c r="A14" s="12" t="s">
        <v>1434</v>
      </c>
      <c r="B14" s="13" t="s">
        <v>54</v>
      </c>
      <c r="C14" s="13" t="s">
        <v>1781</v>
      </c>
      <c r="D14" s="13" t="s">
        <v>1756</v>
      </c>
      <c r="E14" s="16" t="s">
        <v>1782</v>
      </c>
      <c r="F14" s="16">
        <v>0.0126</v>
      </c>
      <c r="G14" s="16">
        <v>-0.0965</v>
      </c>
      <c r="H14" s="16">
        <v>-0.0775</v>
      </c>
      <c r="I14" s="27">
        <v>0.227</v>
      </c>
      <c r="J14" s="16">
        <v>0.1667</v>
      </c>
      <c r="K14" s="16">
        <v>0.2311</v>
      </c>
      <c r="L14" s="16">
        <v>0.237</v>
      </c>
      <c r="M14" s="29">
        <v>0.8735</v>
      </c>
    </row>
    <row r="15" ht="15.6" customHeight="1" spans="1:13">
      <c r="A15" s="12" t="s">
        <v>1783</v>
      </c>
      <c r="B15" s="13" t="s">
        <v>61</v>
      </c>
      <c r="C15" s="13" t="s">
        <v>1784</v>
      </c>
      <c r="D15" s="13" t="s">
        <v>1756</v>
      </c>
      <c r="E15" s="16" t="s">
        <v>1785</v>
      </c>
      <c r="F15" s="16">
        <v>0.011</v>
      </c>
      <c r="G15" s="16">
        <v>-0.0491</v>
      </c>
      <c r="H15" s="16">
        <v>0.0838</v>
      </c>
      <c r="I15" s="27">
        <v>0.1407</v>
      </c>
      <c r="J15" s="16">
        <v>0.0675</v>
      </c>
      <c r="K15" s="16">
        <v>0.2697</v>
      </c>
      <c r="L15" s="16">
        <v>0.1923</v>
      </c>
      <c r="M15" s="29">
        <v>0.6274</v>
      </c>
    </row>
    <row r="16" ht="15.6" customHeight="1" spans="1:13">
      <c r="A16" s="12" t="s">
        <v>1786</v>
      </c>
      <c r="B16" s="13" t="s">
        <v>30</v>
      </c>
      <c r="C16" s="13" t="s">
        <v>1787</v>
      </c>
      <c r="D16" s="13" t="s">
        <v>1756</v>
      </c>
      <c r="E16" s="16" t="s">
        <v>1788</v>
      </c>
      <c r="F16" s="16">
        <v>0.0102</v>
      </c>
      <c r="G16" s="16">
        <v>0.0037</v>
      </c>
      <c r="H16" s="16">
        <v>0.0788</v>
      </c>
      <c r="I16" s="27">
        <v>0.1791</v>
      </c>
      <c r="J16" s="16">
        <v>0.0587</v>
      </c>
      <c r="K16" s="16">
        <v>0.0587</v>
      </c>
      <c r="L16" s="16">
        <v>0.122</v>
      </c>
      <c r="M16" s="29">
        <v>1.304</v>
      </c>
    </row>
    <row r="17" ht="15.6" customHeight="1" spans="1:13">
      <c r="A17" s="12" t="s">
        <v>1647</v>
      </c>
      <c r="B17" s="13" t="s">
        <v>38</v>
      </c>
      <c r="C17" s="13" t="s">
        <v>1789</v>
      </c>
      <c r="D17" s="13" t="s">
        <v>1756</v>
      </c>
      <c r="E17" s="16" t="s">
        <v>1790</v>
      </c>
      <c r="F17" s="16">
        <v>0.008</v>
      </c>
      <c r="G17" s="16">
        <v>0.0087</v>
      </c>
      <c r="H17" s="16">
        <v>0.0416</v>
      </c>
      <c r="I17" s="27">
        <v>0.0908</v>
      </c>
      <c r="J17" s="16">
        <v>0.0264</v>
      </c>
      <c r="K17" s="16">
        <v>0.0264</v>
      </c>
      <c r="L17" s="16">
        <v>0.0532</v>
      </c>
      <c r="M17" s="29">
        <v>1.3301</v>
      </c>
    </row>
    <row r="18" ht="15.6" customHeight="1" spans="1:13">
      <c r="A18" s="12" t="s">
        <v>1791</v>
      </c>
      <c r="B18" s="13" t="s">
        <v>217</v>
      </c>
      <c r="C18" s="13" t="s">
        <v>1792</v>
      </c>
      <c r="D18" s="13" t="s">
        <v>1756</v>
      </c>
      <c r="E18" s="16" t="s">
        <v>1793</v>
      </c>
      <c r="F18" s="16">
        <v>0.0079</v>
      </c>
      <c r="G18" s="16">
        <v>-0.0572</v>
      </c>
      <c r="H18" s="16">
        <v>-0.0783</v>
      </c>
      <c r="I18" s="27">
        <v>0.1166</v>
      </c>
      <c r="J18" s="16">
        <v>0.1685</v>
      </c>
      <c r="K18" s="16">
        <v>0.1685</v>
      </c>
      <c r="L18" s="16">
        <v>0.1052</v>
      </c>
      <c r="M18" s="29">
        <v>0.9177</v>
      </c>
    </row>
    <row r="19" ht="15.6" customHeight="1" spans="1:13">
      <c r="A19" s="12" t="s">
        <v>1794</v>
      </c>
      <c r="B19" s="13" t="s">
        <v>61</v>
      </c>
      <c r="C19" s="13" t="s">
        <v>1795</v>
      </c>
      <c r="D19" s="13" t="s">
        <v>1756</v>
      </c>
      <c r="E19" s="16" t="s">
        <v>1325</v>
      </c>
      <c r="F19" s="16">
        <v>0.0079</v>
      </c>
      <c r="G19" s="16">
        <v>-0.0243</v>
      </c>
      <c r="H19" s="16">
        <v>0.039</v>
      </c>
      <c r="I19" s="27">
        <v>0.19</v>
      </c>
      <c r="J19" s="16">
        <v>0.0579</v>
      </c>
      <c r="K19" s="16">
        <v>0.1062</v>
      </c>
      <c r="L19" s="16">
        <v>0.1155</v>
      </c>
      <c r="M19" s="29">
        <v>1.4723</v>
      </c>
    </row>
    <row r="20" ht="15.6" customHeight="1" spans="1:13">
      <c r="A20" s="12" t="s">
        <v>288</v>
      </c>
      <c r="B20" s="13" t="s">
        <v>217</v>
      </c>
      <c r="C20" s="13" t="s">
        <v>1796</v>
      </c>
      <c r="D20" s="13" t="s">
        <v>1756</v>
      </c>
      <c r="E20" s="16" t="s">
        <v>1797</v>
      </c>
      <c r="F20" s="16">
        <v>0.0075</v>
      </c>
      <c r="G20" s="16">
        <v>-0.0355</v>
      </c>
      <c r="H20" s="16">
        <v>0.0591</v>
      </c>
      <c r="I20" s="27">
        <v>0.089</v>
      </c>
      <c r="J20" s="16">
        <v>0.0805</v>
      </c>
      <c r="K20" s="16">
        <v>0.0805</v>
      </c>
      <c r="L20" s="16">
        <v>0.0614</v>
      </c>
      <c r="M20" s="29">
        <v>1.1225</v>
      </c>
    </row>
    <row r="21" ht="15.6" customHeight="1" spans="1:13">
      <c r="A21" s="12" t="s">
        <v>1310</v>
      </c>
      <c r="B21" s="13" t="s">
        <v>61</v>
      </c>
      <c r="C21" s="13" t="s">
        <v>1798</v>
      </c>
      <c r="D21" s="13" t="s">
        <v>1756</v>
      </c>
      <c r="E21" s="16" t="s">
        <v>1799</v>
      </c>
      <c r="F21" s="16">
        <v>0.0073</v>
      </c>
      <c r="G21" s="16">
        <v>0.0189</v>
      </c>
      <c r="H21" s="16">
        <v>0.0513</v>
      </c>
      <c r="I21" s="27">
        <v>0.1377</v>
      </c>
      <c r="J21" s="16">
        <v>0.0665</v>
      </c>
      <c r="K21" s="16">
        <v>0.106</v>
      </c>
      <c r="L21" s="16">
        <v>0.0991</v>
      </c>
      <c r="M21" s="29">
        <v>1.1878</v>
      </c>
    </row>
    <row r="22" ht="15.6" customHeight="1" spans="1:13">
      <c r="A22" s="12" t="s">
        <v>1800</v>
      </c>
      <c r="B22" s="13" t="s">
        <v>38</v>
      </c>
      <c r="C22" s="13" t="s">
        <v>1801</v>
      </c>
      <c r="D22" s="13" t="s">
        <v>1756</v>
      </c>
      <c r="E22" s="16" t="s">
        <v>1802</v>
      </c>
      <c r="F22" s="16">
        <v>0.0072</v>
      </c>
      <c r="G22" s="16">
        <v>-0.0118</v>
      </c>
      <c r="H22" s="16">
        <v>0.0238</v>
      </c>
      <c r="I22" s="27">
        <v>0.0672</v>
      </c>
      <c r="J22" s="16">
        <v>0.0276</v>
      </c>
      <c r="K22" s="16">
        <v>0.0276</v>
      </c>
      <c r="L22" s="16">
        <v>0.0315</v>
      </c>
      <c r="M22" s="29">
        <v>1.4966</v>
      </c>
    </row>
    <row r="23" ht="15.6" customHeight="1" spans="1:13">
      <c r="A23" s="12" t="s">
        <v>1803</v>
      </c>
      <c r="B23" s="13" t="s">
        <v>54</v>
      </c>
      <c r="C23" s="13" t="s">
        <v>1804</v>
      </c>
      <c r="D23" s="13" t="s">
        <v>1756</v>
      </c>
      <c r="E23" s="16" t="s">
        <v>1805</v>
      </c>
      <c r="F23" s="16">
        <v>0.0066</v>
      </c>
      <c r="G23" s="16">
        <v>-0.0276</v>
      </c>
      <c r="H23" s="16">
        <v>-0.0363</v>
      </c>
      <c r="I23" s="27">
        <v>0.3419</v>
      </c>
      <c r="J23" s="16">
        <v>0.153</v>
      </c>
      <c r="K23" s="16">
        <v>0.2934</v>
      </c>
      <c r="L23" s="16">
        <v>0.3827</v>
      </c>
      <c r="M23" s="29">
        <v>0.8411</v>
      </c>
    </row>
    <row r="24" ht="15.6" customHeight="1" spans="1:13">
      <c r="A24" s="12" t="s">
        <v>1806</v>
      </c>
      <c r="B24" s="13" t="s">
        <v>38</v>
      </c>
      <c r="C24" s="13" t="s">
        <v>1807</v>
      </c>
      <c r="D24" s="13" t="s">
        <v>1756</v>
      </c>
      <c r="E24" s="16" t="s">
        <v>1808</v>
      </c>
      <c r="F24" s="16">
        <v>0.0062</v>
      </c>
      <c r="G24" s="16">
        <v>0.0087</v>
      </c>
      <c r="H24" s="16">
        <v>0.0217</v>
      </c>
      <c r="I24" s="27">
        <v>0.1292</v>
      </c>
      <c r="J24" s="16">
        <v>0.0437</v>
      </c>
      <c r="K24" s="16">
        <v>0.0645</v>
      </c>
      <c r="L24" s="16">
        <v>0.0683</v>
      </c>
      <c r="M24" s="29">
        <v>1.5981</v>
      </c>
    </row>
    <row r="25" ht="15.6" customHeight="1" spans="1:13">
      <c r="A25" s="12" t="s">
        <v>1809</v>
      </c>
      <c r="B25" s="13" t="s">
        <v>30</v>
      </c>
      <c r="C25" s="13" t="s">
        <v>1810</v>
      </c>
      <c r="D25" s="13" t="s">
        <v>1756</v>
      </c>
      <c r="E25" s="16" t="s">
        <v>1811</v>
      </c>
      <c r="F25" s="16">
        <v>0.0057</v>
      </c>
      <c r="G25" s="16">
        <v>-0.0771</v>
      </c>
      <c r="H25" s="16">
        <v>0.0725</v>
      </c>
      <c r="I25" s="27">
        <v>0.1985</v>
      </c>
      <c r="J25" s="16">
        <v>0.12</v>
      </c>
      <c r="K25" s="16">
        <v>0.2177</v>
      </c>
      <c r="L25" s="16">
        <v>0.2064</v>
      </c>
      <c r="M25" s="29">
        <v>0.8648</v>
      </c>
    </row>
    <row r="26" ht="15.6" customHeight="1" spans="1:13">
      <c r="A26" s="12" t="s">
        <v>1812</v>
      </c>
      <c r="B26" s="13" t="s">
        <v>30</v>
      </c>
      <c r="C26" s="13" t="s">
        <v>1813</v>
      </c>
      <c r="D26" s="13" t="s">
        <v>1756</v>
      </c>
      <c r="E26" s="16" t="s">
        <v>1814</v>
      </c>
      <c r="F26" s="16">
        <v>0.0054</v>
      </c>
      <c r="G26" s="16">
        <v>-0.021</v>
      </c>
      <c r="H26" s="16">
        <v>-0.0197</v>
      </c>
      <c r="I26" s="27">
        <v>0.2337</v>
      </c>
      <c r="J26" s="16">
        <v>0.0906</v>
      </c>
      <c r="K26" s="16">
        <v>0.0906</v>
      </c>
      <c r="L26" s="16">
        <v>0.1597</v>
      </c>
      <c r="M26" s="29">
        <v>1.3387</v>
      </c>
    </row>
    <row r="27" ht="15.6" customHeight="1" spans="1:13">
      <c r="A27" s="12" t="s">
        <v>1021</v>
      </c>
      <c r="B27" s="13" t="s">
        <v>38</v>
      </c>
      <c r="C27" s="13" t="s">
        <v>1815</v>
      </c>
      <c r="D27" s="13" t="s">
        <v>1756</v>
      </c>
      <c r="E27" s="16" t="s">
        <v>1816</v>
      </c>
      <c r="F27" s="16">
        <v>0.0054</v>
      </c>
      <c r="G27" s="16">
        <v>0.0045</v>
      </c>
      <c r="H27" s="16">
        <v>0.0036</v>
      </c>
      <c r="I27" s="27">
        <v>0.0422</v>
      </c>
      <c r="J27" s="16">
        <v>0.0278</v>
      </c>
      <c r="K27" s="16">
        <v>0.0332</v>
      </c>
      <c r="L27" s="16">
        <v>0.0444</v>
      </c>
      <c r="M27" s="29">
        <v>0.5008</v>
      </c>
    </row>
    <row r="28" ht="15.6" customHeight="1" spans="1:13">
      <c r="A28" s="12" t="s">
        <v>1560</v>
      </c>
      <c r="B28" s="13" t="s">
        <v>38</v>
      </c>
      <c r="C28" s="13" t="s">
        <v>1817</v>
      </c>
      <c r="D28" s="13" t="s">
        <v>1756</v>
      </c>
      <c r="E28" s="16" t="s">
        <v>1818</v>
      </c>
      <c r="F28" s="16">
        <v>0.0032</v>
      </c>
      <c r="G28" s="16">
        <v>-0.0112</v>
      </c>
      <c r="H28" s="16">
        <v>0.023</v>
      </c>
      <c r="I28" s="27">
        <v>0.156</v>
      </c>
      <c r="J28" s="16">
        <v>0.1677</v>
      </c>
      <c r="K28" s="16">
        <v>0.3397</v>
      </c>
      <c r="L28" s="16">
        <v>0.1681</v>
      </c>
      <c r="M28" s="29">
        <v>0.8088</v>
      </c>
    </row>
    <row r="29" ht="15.6" customHeight="1" spans="1:13">
      <c r="A29" s="12" t="s">
        <v>483</v>
      </c>
      <c r="B29" s="13" t="s">
        <v>217</v>
      </c>
      <c r="C29" s="13" t="s">
        <v>1819</v>
      </c>
      <c r="D29" s="13" t="s">
        <v>1756</v>
      </c>
      <c r="E29" s="16" t="s">
        <v>1820</v>
      </c>
      <c r="F29" s="16">
        <v>0.0022</v>
      </c>
      <c r="G29" s="16">
        <v>-0.0431</v>
      </c>
      <c r="H29" s="16">
        <v>0.0114</v>
      </c>
      <c r="I29" s="27">
        <v>0.1692</v>
      </c>
      <c r="J29" s="16">
        <v>0.0741</v>
      </c>
      <c r="K29" s="16">
        <v>0.0741</v>
      </c>
      <c r="L29" s="16">
        <v>0.1002</v>
      </c>
      <c r="M29" s="29">
        <v>1.4895</v>
      </c>
    </row>
    <row r="30" ht="15.6" customHeight="1" spans="1:13">
      <c r="A30" s="12" t="s">
        <v>365</v>
      </c>
      <c r="B30" s="13" t="s">
        <v>156</v>
      </c>
      <c r="C30" s="13" t="s">
        <v>1821</v>
      </c>
      <c r="D30" s="13" t="s">
        <v>1756</v>
      </c>
      <c r="E30" s="16" t="s">
        <v>1822</v>
      </c>
      <c r="F30" s="16">
        <v>0.0016</v>
      </c>
      <c r="G30" s="16">
        <v>-0.0227</v>
      </c>
      <c r="H30" s="16">
        <v>0.0289</v>
      </c>
      <c r="I30" s="27">
        <v>0.0827</v>
      </c>
      <c r="J30" s="16">
        <v>0.0441</v>
      </c>
      <c r="K30" s="16">
        <v>0.0441</v>
      </c>
      <c r="L30" s="16">
        <v>0.0851</v>
      </c>
      <c r="M30" s="29">
        <v>0.737</v>
      </c>
    </row>
    <row r="31" ht="15.6" customHeight="1" spans="1:13">
      <c r="A31" s="12" t="s">
        <v>1823</v>
      </c>
      <c r="B31" s="13" t="s">
        <v>54</v>
      </c>
      <c r="C31" s="13" t="s">
        <v>1824</v>
      </c>
      <c r="D31" s="13" t="s">
        <v>1756</v>
      </c>
      <c r="E31" s="16" t="s">
        <v>915</v>
      </c>
      <c r="F31" s="16">
        <v>0.001</v>
      </c>
      <c r="G31" s="16">
        <v>-0.0275</v>
      </c>
      <c r="H31" s="16">
        <v>0.0439</v>
      </c>
      <c r="I31" s="27">
        <v>0.2381</v>
      </c>
      <c r="J31" s="16">
        <v>0.1017</v>
      </c>
      <c r="K31" s="16">
        <v>0.1017</v>
      </c>
      <c r="L31" s="16">
        <v>0.1297</v>
      </c>
      <c r="M31" s="29">
        <v>1.6819</v>
      </c>
    </row>
    <row r="32" ht="15.6" customHeight="1" spans="1:13">
      <c r="A32" s="12" t="s">
        <v>1825</v>
      </c>
      <c r="B32" s="13" t="s">
        <v>1826</v>
      </c>
      <c r="C32" s="13" t="s">
        <v>1827</v>
      </c>
      <c r="D32" s="13" t="s">
        <v>1756</v>
      </c>
      <c r="E32" s="16" t="s">
        <v>805</v>
      </c>
      <c r="F32" s="16">
        <v>0.0005</v>
      </c>
      <c r="G32" s="16">
        <v>-0.0165</v>
      </c>
      <c r="H32" s="16">
        <v>0.0412</v>
      </c>
      <c r="I32" s="27">
        <v>0.1587</v>
      </c>
      <c r="J32" s="16">
        <v>0.0286</v>
      </c>
      <c r="K32" s="16">
        <v>0.0286</v>
      </c>
      <c r="L32" s="16">
        <v>0.0657</v>
      </c>
      <c r="M32" s="29">
        <v>2.1096</v>
      </c>
    </row>
    <row r="33" ht="15.6" customHeight="1" spans="1:13">
      <c r="A33" s="12" t="s">
        <v>667</v>
      </c>
      <c r="B33" s="13" t="s">
        <v>61</v>
      </c>
      <c r="C33" s="13" t="s">
        <v>1828</v>
      </c>
      <c r="D33" s="13" t="s">
        <v>1756</v>
      </c>
      <c r="E33" s="16" t="s">
        <v>685</v>
      </c>
      <c r="F33" s="16">
        <v>0.0004</v>
      </c>
      <c r="G33" s="16">
        <v>-0.0049</v>
      </c>
      <c r="H33" s="16">
        <v>0.0392</v>
      </c>
      <c r="I33" s="27">
        <v>0.2545</v>
      </c>
      <c r="J33" s="16">
        <v>0.0437</v>
      </c>
      <c r="K33" s="16">
        <v>0.1784</v>
      </c>
      <c r="L33" s="16">
        <v>0.1764</v>
      </c>
      <c r="M33" s="29">
        <v>1.3292</v>
      </c>
    </row>
    <row r="34" ht="15.6" customHeight="1" spans="1:13">
      <c r="A34" s="12" t="s">
        <v>1829</v>
      </c>
      <c r="B34" s="13" t="s">
        <v>217</v>
      </c>
      <c r="C34" s="13" t="s">
        <v>1830</v>
      </c>
      <c r="D34" s="13" t="s">
        <v>1756</v>
      </c>
      <c r="E34" s="16" t="s">
        <v>1831</v>
      </c>
      <c r="F34" s="16">
        <v>0.0001</v>
      </c>
      <c r="G34" s="16">
        <v>-0.0228</v>
      </c>
      <c r="H34" s="16">
        <v>0.0262</v>
      </c>
      <c r="I34" s="27">
        <v>0.1056</v>
      </c>
      <c r="J34" s="16">
        <v>0.0381</v>
      </c>
      <c r="K34" s="16">
        <v>0.0381</v>
      </c>
      <c r="L34" s="16">
        <v>0.0591</v>
      </c>
      <c r="M34" s="29">
        <v>1.4481</v>
      </c>
    </row>
    <row r="35" ht="15.6" customHeight="1" spans="1:13">
      <c r="A35" s="12" t="s">
        <v>1832</v>
      </c>
      <c r="B35" s="13" t="s">
        <v>54</v>
      </c>
      <c r="C35" s="13" t="s">
        <v>1833</v>
      </c>
      <c r="D35" s="13" t="s">
        <v>1756</v>
      </c>
      <c r="E35" s="16" t="s">
        <v>1834</v>
      </c>
      <c r="F35" s="16">
        <v>0</v>
      </c>
      <c r="G35" s="16">
        <v>-0.0548</v>
      </c>
      <c r="H35" s="16">
        <v>0.0368</v>
      </c>
      <c r="I35" s="27">
        <v>0.1923</v>
      </c>
      <c r="J35" s="16">
        <v>0.0965</v>
      </c>
      <c r="K35" s="16">
        <v>0.0965</v>
      </c>
      <c r="L35" s="16">
        <v>0.1387</v>
      </c>
      <c r="M35" s="29">
        <v>1.2421</v>
      </c>
    </row>
    <row r="36" ht="15.6" customHeight="1" spans="1:13">
      <c r="A36" s="12" t="s">
        <v>1835</v>
      </c>
      <c r="B36" s="13" t="s">
        <v>30</v>
      </c>
      <c r="C36" s="13" t="s">
        <v>1836</v>
      </c>
      <c r="D36" s="13" t="s">
        <v>1756</v>
      </c>
      <c r="E36" s="16" t="s">
        <v>1291</v>
      </c>
      <c r="F36" s="16">
        <v>-0.0003</v>
      </c>
      <c r="G36" s="16">
        <v>-0.0055</v>
      </c>
      <c r="H36" s="16">
        <v>0.0153</v>
      </c>
      <c r="I36" s="27">
        <v>0.0351</v>
      </c>
      <c r="J36" s="16">
        <v>0.0487</v>
      </c>
      <c r="K36" s="16">
        <v>0.0487</v>
      </c>
      <c r="L36" s="16">
        <v>0.0721</v>
      </c>
      <c r="M36" s="29">
        <v>0.2092</v>
      </c>
    </row>
    <row r="37" ht="15.6" customHeight="1" spans="1:13">
      <c r="A37" s="12" t="s">
        <v>1837</v>
      </c>
      <c r="B37" s="13" t="s">
        <v>30</v>
      </c>
      <c r="C37" s="13" t="s">
        <v>1838</v>
      </c>
      <c r="D37" s="13" t="s">
        <v>1756</v>
      </c>
      <c r="E37" s="16" t="s">
        <v>1050</v>
      </c>
      <c r="F37" s="16">
        <v>-0.0006</v>
      </c>
      <c r="G37" s="16">
        <v>-0.0037</v>
      </c>
      <c r="H37" s="16">
        <v>0.0243</v>
      </c>
      <c r="I37" s="27">
        <v>0.0484</v>
      </c>
      <c r="J37" s="16">
        <v>0.0147</v>
      </c>
      <c r="K37" s="16">
        <v>0.0405</v>
      </c>
      <c r="L37" s="16">
        <v>0.0384</v>
      </c>
      <c r="M37" s="29">
        <v>0.7385</v>
      </c>
    </row>
    <row r="38" ht="15.6" customHeight="1" spans="1:13">
      <c r="A38" s="12" t="s">
        <v>171</v>
      </c>
      <c r="B38" s="13" t="s">
        <v>156</v>
      </c>
      <c r="C38" s="13" t="s">
        <v>1839</v>
      </c>
      <c r="D38" s="13" t="s">
        <v>1756</v>
      </c>
      <c r="E38" s="16" t="s">
        <v>1840</v>
      </c>
      <c r="F38" s="16">
        <v>-0.0012</v>
      </c>
      <c r="G38" s="16">
        <v>-0.0436</v>
      </c>
      <c r="H38" s="16">
        <v>0.0127</v>
      </c>
      <c r="I38" s="27">
        <v>0.1695</v>
      </c>
      <c r="J38" s="16">
        <v>0.0949</v>
      </c>
      <c r="K38" s="16">
        <v>0.0949</v>
      </c>
      <c r="L38" s="16">
        <v>0.0969</v>
      </c>
      <c r="M38" s="29">
        <v>1.5435</v>
      </c>
    </row>
    <row r="39" ht="15.6" customHeight="1" spans="1:13">
      <c r="A39" s="12" t="s">
        <v>1416</v>
      </c>
      <c r="B39" s="13" t="s">
        <v>156</v>
      </c>
      <c r="C39" s="13" t="s">
        <v>1841</v>
      </c>
      <c r="D39" s="13" t="s">
        <v>1756</v>
      </c>
      <c r="E39" s="16" t="s">
        <v>1842</v>
      </c>
      <c r="F39" s="16">
        <v>-0.0014</v>
      </c>
      <c r="G39" s="16">
        <v>-0.045</v>
      </c>
      <c r="H39" s="16">
        <v>0.0046</v>
      </c>
      <c r="I39" s="27">
        <v>0.1355</v>
      </c>
      <c r="J39" s="16">
        <v>0.0683</v>
      </c>
      <c r="K39" s="16">
        <v>0.0683</v>
      </c>
      <c r="L39" s="16">
        <v>0.0894</v>
      </c>
      <c r="M39" s="29">
        <v>1.2918</v>
      </c>
    </row>
    <row r="40" ht="15.6" customHeight="1" spans="1:13">
      <c r="A40" s="12" t="s">
        <v>1843</v>
      </c>
      <c r="B40" s="13" t="s">
        <v>1826</v>
      </c>
      <c r="C40" s="13" t="s">
        <v>1844</v>
      </c>
      <c r="D40" s="13" t="s">
        <v>1756</v>
      </c>
      <c r="E40" s="16" t="s">
        <v>1845</v>
      </c>
      <c r="F40" s="16">
        <v>-0.0024</v>
      </c>
      <c r="G40" s="16">
        <v>-0.0011</v>
      </c>
      <c r="H40" s="16">
        <v>0.0037</v>
      </c>
      <c r="I40" s="27">
        <v>0.007</v>
      </c>
      <c r="J40" s="16">
        <v>0.0402</v>
      </c>
      <c r="K40" s="16">
        <v>0.0402</v>
      </c>
      <c r="L40" s="16">
        <v>0.1176</v>
      </c>
      <c r="M40" s="29">
        <v>-0.1107</v>
      </c>
    </row>
    <row r="41" ht="15.6" customHeight="1" spans="1:13">
      <c r="A41" s="12" t="s">
        <v>1194</v>
      </c>
      <c r="B41" s="13" t="s">
        <v>61</v>
      </c>
      <c r="C41" s="13" t="s">
        <v>1846</v>
      </c>
      <c r="D41" s="13" t="s">
        <v>1756</v>
      </c>
      <c r="E41" s="16" t="s">
        <v>1847</v>
      </c>
      <c r="F41" s="16">
        <v>-0.0025</v>
      </c>
      <c r="G41" s="16">
        <v>-0.0479</v>
      </c>
      <c r="H41" s="16"/>
      <c r="I41" s="27">
        <v>0.1072</v>
      </c>
      <c r="J41" s="16"/>
      <c r="K41" s="16">
        <v>0.072</v>
      </c>
      <c r="L41" s="16">
        <v>0.1905</v>
      </c>
      <c r="M41" s="29">
        <v>0.4576</v>
      </c>
    </row>
    <row r="42" ht="15.6" customHeight="1" spans="1:13">
      <c r="A42" s="12" t="s">
        <v>1848</v>
      </c>
      <c r="B42" s="13" t="s">
        <v>61</v>
      </c>
      <c r="C42" s="13" t="s">
        <v>1849</v>
      </c>
      <c r="D42" s="13" t="s">
        <v>1756</v>
      </c>
      <c r="E42" s="16" t="s">
        <v>1850</v>
      </c>
      <c r="F42" s="16">
        <v>-0.0025</v>
      </c>
      <c r="G42" s="16">
        <v>-0.0356</v>
      </c>
      <c r="H42" s="16">
        <v>0.0708</v>
      </c>
      <c r="I42" s="27">
        <v>0.122</v>
      </c>
      <c r="J42" s="16">
        <v>0.1326</v>
      </c>
      <c r="K42" s="16">
        <v>0.1863</v>
      </c>
      <c r="L42" s="16">
        <v>0.148</v>
      </c>
      <c r="M42" s="29">
        <v>0.6896</v>
      </c>
    </row>
    <row r="43" ht="15.6" customHeight="1" spans="1:13">
      <c r="A43" s="12" t="s">
        <v>195</v>
      </c>
      <c r="B43" s="13" t="s">
        <v>61</v>
      </c>
      <c r="C43" s="13" t="s">
        <v>1851</v>
      </c>
      <c r="D43" s="13" t="s">
        <v>1756</v>
      </c>
      <c r="E43" s="16" t="s">
        <v>1852</v>
      </c>
      <c r="F43" s="16">
        <v>-0.0033</v>
      </c>
      <c r="G43" s="16">
        <v>-0.0142</v>
      </c>
      <c r="H43" s="16">
        <v>0.0309</v>
      </c>
      <c r="I43" s="27">
        <v>0.0944</v>
      </c>
      <c r="J43" s="16">
        <v>0.0147</v>
      </c>
      <c r="K43" s="16">
        <v>0.019</v>
      </c>
      <c r="L43" s="16">
        <v>0.0457</v>
      </c>
      <c r="M43" s="29">
        <v>1.6284</v>
      </c>
    </row>
    <row r="44" ht="15.6" customHeight="1" spans="1:13">
      <c r="A44" s="12" t="s">
        <v>1686</v>
      </c>
      <c r="B44" s="13" t="s">
        <v>30</v>
      </c>
      <c r="C44" s="13" t="s">
        <v>1853</v>
      </c>
      <c r="D44" s="13" t="s">
        <v>1756</v>
      </c>
      <c r="E44" s="16" t="s">
        <v>1854</v>
      </c>
      <c r="F44" s="16">
        <v>-0.0034</v>
      </c>
      <c r="G44" s="16">
        <v>-0.0078</v>
      </c>
      <c r="H44" s="16">
        <v>0.0528</v>
      </c>
      <c r="I44" s="27">
        <v>0.2893</v>
      </c>
      <c r="J44" s="16">
        <v>0.0274</v>
      </c>
      <c r="K44" s="16">
        <v>0.0274</v>
      </c>
      <c r="L44" s="16">
        <v>0.356</v>
      </c>
      <c r="M44" s="29">
        <v>0.7564</v>
      </c>
    </row>
    <row r="45" ht="15.6" customHeight="1" spans="1:13">
      <c r="A45" s="12" t="s">
        <v>1217</v>
      </c>
      <c r="B45" s="13" t="s">
        <v>54</v>
      </c>
      <c r="C45" s="13" t="s">
        <v>1855</v>
      </c>
      <c r="D45" s="13" t="s">
        <v>1756</v>
      </c>
      <c r="E45" s="16" t="s">
        <v>1856</v>
      </c>
      <c r="F45" s="16">
        <v>-0.0034</v>
      </c>
      <c r="G45" s="16">
        <v>-0.02</v>
      </c>
      <c r="H45" s="16">
        <v>0.0184</v>
      </c>
      <c r="I45" s="27">
        <v>0.1843</v>
      </c>
      <c r="J45" s="16">
        <v>0.0936</v>
      </c>
      <c r="K45" s="16">
        <v>0.1356</v>
      </c>
      <c r="L45" s="16">
        <v>0.1446</v>
      </c>
      <c r="M45" s="29">
        <v>1.1358</v>
      </c>
    </row>
    <row r="46" ht="15.6" customHeight="1" spans="1:13">
      <c r="A46" s="12" t="s">
        <v>1857</v>
      </c>
      <c r="B46" s="13" t="s">
        <v>54</v>
      </c>
      <c r="C46" s="13" t="s">
        <v>1858</v>
      </c>
      <c r="D46" s="13" t="s">
        <v>1756</v>
      </c>
      <c r="E46" s="16" t="s">
        <v>1615</v>
      </c>
      <c r="F46" s="16">
        <v>-0.0045</v>
      </c>
      <c r="G46" s="16">
        <v>-0.0448</v>
      </c>
      <c r="H46" s="16">
        <v>0.0394</v>
      </c>
      <c r="I46" s="27">
        <v>0.2639</v>
      </c>
      <c r="J46" s="16">
        <v>0.1364</v>
      </c>
      <c r="K46" s="16">
        <v>0.1773</v>
      </c>
      <c r="L46" s="16">
        <v>0.198</v>
      </c>
      <c r="M46" s="29">
        <v>1.2321</v>
      </c>
    </row>
    <row r="47" ht="15.6" customHeight="1" spans="1:13">
      <c r="A47" s="12" t="s">
        <v>1711</v>
      </c>
      <c r="B47" s="13" t="s">
        <v>61</v>
      </c>
      <c r="C47" s="13" t="s">
        <v>1859</v>
      </c>
      <c r="D47" s="13" t="s">
        <v>1756</v>
      </c>
      <c r="E47" s="16" t="s">
        <v>1860</v>
      </c>
      <c r="F47" s="16">
        <v>-0.0046</v>
      </c>
      <c r="G47" s="16">
        <v>-0.0377</v>
      </c>
      <c r="H47" s="16">
        <v>0.0849</v>
      </c>
      <c r="I47" s="27">
        <v>0.3729</v>
      </c>
      <c r="J47" s="16">
        <v>0.1366</v>
      </c>
      <c r="K47" s="16">
        <v>0.1366</v>
      </c>
      <c r="L47" s="16">
        <v>0.1835</v>
      </c>
      <c r="M47" s="29">
        <v>1.9236</v>
      </c>
    </row>
    <row r="48" ht="15.6" customHeight="1" spans="1:13">
      <c r="A48" s="12" t="s">
        <v>1861</v>
      </c>
      <c r="B48" s="13" t="s">
        <v>54</v>
      </c>
      <c r="C48" s="13" t="s">
        <v>1862</v>
      </c>
      <c r="D48" s="13" t="s">
        <v>1756</v>
      </c>
      <c r="E48" s="16" t="s">
        <v>66</v>
      </c>
      <c r="F48" s="16">
        <v>-0.005</v>
      </c>
      <c r="G48" s="16">
        <v>-0.024</v>
      </c>
      <c r="H48" s="16">
        <v>0.0381</v>
      </c>
      <c r="I48" s="27">
        <v>0.1413</v>
      </c>
      <c r="J48" s="16">
        <v>0.0408</v>
      </c>
      <c r="K48" s="16">
        <v>0.0408</v>
      </c>
      <c r="L48" s="16">
        <v>0.0655</v>
      </c>
      <c r="M48" s="29">
        <v>1.8524</v>
      </c>
    </row>
    <row r="49" ht="15.6" customHeight="1" spans="1:13">
      <c r="A49" s="12" t="s">
        <v>1863</v>
      </c>
      <c r="B49" s="13" t="s">
        <v>30</v>
      </c>
      <c r="C49" s="13" t="s">
        <v>1864</v>
      </c>
      <c r="D49" s="13" t="s">
        <v>1756</v>
      </c>
      <c r="E49" s="16" t="s">
        <v>1865</v>
      </c>
      <c r="F49" s="16">
        <v>-0.0061</v>
      </c>
      <c r="G49" s="16">
        <v>-0.0066</v>
      </c>
      <c r="H49" s="16"/>
      <c r="I49" s="27">
        <v>0.011</v>
      </c>
      <c r="J49" s="16"/>
      <c r="K49" s="16">
        <v>0.0396</v>
      </c>
      <c r="L49" s="16">
        <v>0.0978</v>
      </c>
      <c r="M49" s="29">
        <v>-0.0924</v>
      </c>
    </row>
    <row r="50" ht="15.6" customHeight="1" spans="1:13">
      <c r="A50" s="12" t="s">
        <v>1866</v>
      </c>
      <c r="B50" s="13" t="s">
        <v>156</v>
      </c>
      <c r="C50" s="13" t="s">
        <v>1867</v>
      </c>
      <c r="D50" s="13" t="s">
        <v>1756</v>
      </c>
      <c r="E50" s="16" t="s">
        <v>1868</v>
      </c>
      <c r="F50" s="16">
        <v>-0.0069</v>
      </c>
      <c r="G50" s="16">
        <v>-0.0395</v>
      </c>
      <c r="H50" s="16">
        <v>0.051</v>
      </c>
      <c r="I50" s="27">
        <v>0.1401</v>
      </c>
      <c r="J50" s="16">
        <v>0.0466</v>
      </c>
      <c r="K50" s="16">
        <v>0.0562</v>
      </c>
      <c r="L50" s="16">
        <v>0.1172</v>
      </c>
      <c r="M50" s="29">
        <v>1.0248</v>
      </c>
    </row>
    <row r="51" ht="15.6" customHeight="1" spans="1:13">
      <c r="A51" s="12" t="s">
        <v>1197</v>
      </c>
      <c r="B51" s="13" t="s">
        <v>54</v>
      </c>
      <c r="C51" s="13" t="s">
        <v>1869</v>
      </c>
      <c r="D51" s="13" t="s">
        <v>1756</v>
      </c>
      <c r="E51" s="16" t="s">
        <v>1870</v>
      </c>
      <c r="F51" s="16">
        <v>-0.0194</v>
      </c>
      <c r="G51" s="16">
        <v>-0.0169</v>
      </c>
      <c r="H51" s="16">
        <v>0.1663</v>
      </c>
      <c r="I51" s="27">
        <v>0.252</v>
      </c>
      <c r="J51" s="16">
        <v>0.0488</v>
      </c>
      <c r="K51" s="16">
        <v>0.0488</v>
      </c>
      <c r="L51" s="16">
        <v>0.122</v>
      </c>
      <c r="M51" s="29">
        <v>1.9016</v>
      </c>
    </row>
    <row r="52" ht="15.6" customHeight="1" spans="1:13">
      <c r="A52" s="12" t="s">
        <v>1871</v>
      </c>
      <c r="B52" s="13" t="s">
        <v>54</v>
      </c>
      <c r="C52" s="13" t="s">
        <v>1872</v>
      </c>
      <c r="D52" s="13" t="s">
        <v>1756</v>
      </c>
      <c r="E52" s="16" t="s">
        <v>1873</v>
      </c>
      <c r="F52" s="16">
        <v>-0.0607</v>
      </c>
      <c r="G52" s="16">
        <v>-0.068</v>
      </c>
      <c r="H52" s="16">
        <v>-0.0506</v>
      </c>
      <c r="I52" s="27">
        <v>0.2229</v>
      </c>
      <c r="J52" s="16">
        <v>0.2163</v>
      </c>
      <c r="K52" s="16">
        <v>0.2163</v>
      </c>
      <c r="L52" s="16">
        <v>0.1888</v>
      </c>
      <c r="M52" s="29">
        <v>1.075</v>
      </c>
    </row>
    <row r="53" ht="15.6" customHeight="1" spans="1:13">
      <c r="A53" s="12" t="s">
        <v>1874</v>
      </c>
      <c r="B53" s="13" t="s">
        <v>156</v>
      </c>
      <c r="C53" s="13" t="s">
        <v>1875</v>
      </c>
      <c r="D53" s="13" t="s">
        <v>1756</v>
      </c>
      <c r="E53" s="16" t="s">
        <v>1876</v>
      </c>
      <c r="F53" s="16">
        <v>-0.0958</v>
      </c>
      <c r="G53" s="16">
        <v>-0.0435</v>
      </c>
      <c r="H53" s="16">
        <v>0.2452</v>
      </c>
      <c r="I53" s="27">
        <v>0.205</v>
      </c>
      <c r="J53" s="16">
        <v>0.2651</v>
      </c>
      <c r="K53" s="16">
        <v>0.6607</v>
      </c>
      <c r="L53" s="16">
        <v>0.4253</v>
      </c>
      <c r="M53" s="29">
        <v>0.4349</v>
      </c>
    </row>
    <row r="54" ht="15.6" customHeight="1" spans="1:13">
      <c r="A54" s="12"/>
      <c r="B54" s="13"/>
      <c r="C54" s="13"/>
      <c r="D54" s="13"/>
      <c r="E54" s="16"/>
      <c r="F54" s="16"/>
      <c r="G54" s="16"/>
      <c r="H54" s="16"/>
      <c r="I54" s="29"/>
      <c r="J54" s="16"/>
      <c r="K54" s="16"/>
      <c r="L54" s="16"/>
      <c r="M54" s="29"/>
    </row>
    <row r="55" ht="15.6" customHeight="1" spans="1:13">
      <c r="A55" s="12"/>
      <c r="B55" s="13"/>
      <c r="C55" s="13"/>
      <c r="D55" s="13"/>
      <c r="E55" s="16"/>
      <c r="F55" s="16"/>
      <c r="G55" s="16"/>
      <c r="H55" s="16"/>
      <c r="I55" s="29"/>
      <c r="J55" s="16"/>
      <c r="K55" s="16"/>
      <c r="L55" s="16"/>
      <c r="M55" s="29"/>
    </row>
    <row r="56" ht="15.6" customHeight="1" spans="1:13">
      <c r="A56" s="12"/>
      <c r="B56" s="13"/>
      <c r="C56" s="13"/>
      <c r="D56" s="13"/>
      <c r="E56" s="16"/>
      <c r="F56" s="16"/>
      <c r="G56" s="16"/>
      <c r="H56" s="16"/>
      <c r="I56" s="29"/>
      <c r="J56" s="16"/>
      <c r="K56" s="16"/>
      <c r="L56" s="16"/>
      <c r="M56" s="29"/>
    </row>
    <row r="57" ht="15.6" customHeight="1" spans="1:13">
      <c r="A57" s="12"/>
      <c r="B57" s="13"/>
      <c r="C57" s="13"/>
      <c r="D57" s="13"/>
      <c r="E57" s="16"/>
      <c r="F57" s="16"/>
      <c r="G57" s="16"/>
      <c r="H57" s="16"/>
      <c r="I57" s="29"/>
      <c r="J57" s="16"/>
      <c r="K57" s="16"/>
      <c r="L57" s="16"/>
      <c r="M57" s="29"/>
    </row>
    <row r="58" ht="15.6" customHeight="1" spans="1:13">
      <c r="A58" s="12"/>
      <c r="B58" s="13"/>
      <c r="C58" s="13"/>
      <c r="D58" s="13"/>
      <c r="E58" s="16"/>
      <c r="F58" s="16"/>
      <c r="G58" s="16"/>
      <c r="H58" s="16"/>
      <c r="I58" s="29"/>
      <c r="J58" s="16"/>
      <c r="K58" s="16"/>
      <c r="L58" s="16"/>
      <c r="M58" s="29"/>
    </row>
    <row r="59" ht="15.6" customHeight="1" spans="1:13">
      <c r="A59" s="12"/>
      <c r="B59" s="13"/>
      <c r="C59" s="13"/>
      <c r="D59" s="13"/>
      <c r="E59" s="16"/>
      <c r="F59" s="16"/>
      <c r="G59" s="16"/>
      <c r="H59" s="16"/>
      <c r="I59" s="29"/>
      <c r="J59" s="16"/>
      <c r="K59" s="16"/>
      <c r="L59" s="16"/>
      <c r="M59" s="29"/>
    </row>
    <row r="60" ht="15.6" customHeight="1" spans="1:13">
      <c r="A60" s="12"/>
      <c r="B60" s="13"/>
      <c r="C60" s="13"/>
      <c r="D60" s="13"/>
      <c r="E60" s="16"/>
      <c r="F60" s="16"/>
      <c r="G60" s="16"/>
      <c r="H60" s="16"/>
      <c r="I60" s="29"/>
      <c r="J60" s="16"/>
      <c r="K60" s="16"/>
      <c r="L60" s="16"/>
      <c r="M60" s="29"/>
    </row>
    <row r="61" ht="15.6" customHeight="1" spans="1:13">
      <c r="A61" s="12"/>
      <c r="B61" s="13"/>
      <c r="C61" s="13"/>
      <c r="D61" s="13"/>
      <c r="E61" s="16"/>
      <c r="F61" s="16"/>
      <c r="G61" s="16"/>
      <c r="H61" s="16"/>
      <c r="I61" s="29"/>
      <c r="J61" s="16"/>
      <c r="K61" s="16"/>
      <c r="L61" s="16"/>
      <c r="M61" s="29"/>
    </row>
    <row r="62" ht="15.6" customHeight="1" spans="1:13">
      <c r="A62" s="12"/>
      <c r="B62" s="13"/>
      <c r="C62" s="13"/>
      <c r="D62" s="13"/>
      <c r="E62" s="16"/>
      <c r="F62" s="16"/>
      <c r="G62" s="16"/>
      <c r="H62" s="16"/>
      <c r="I62" s="29"/>
      <c r="J62" s="16"/>
      <c r="K62" s="16"/>
      <c r="L62" s="16"/>
      <c r="M62" s="29"/>
    </row>
    <row r="63" ht="15.6" customHeight="1" spans="1:13">
      <c r="A63" s="12"/>
      <c r="B63" s="13"/>
      <c r="C63" s="13"/>
      <c r="D63" s="13"/>
      <c r="E63" s="16"/>
      <c r="F63" s="16"/>
      <c r="G63" s="16"/>
      <c r="H63" s="16"/>
      <c r="I63" s="29"/>
      <c r="J63" s="16"/>
      <c r="K63" s="16"/>
      <c r="L63" s="16"/>
      <c r="M63" s="29"/>
    </row>
    <row r="64" ht="15.6" customHeight="1" spans="1:13">
      <c r="A64" s="12"/>
      <c r="B64" s="13"/>
      <c r="C64" s="13"/>
      <c r="D64" s="13"/>
      <c r="E64" s="16"/>
      <c r="F64" s="16"/>
      <c r="G64" s="16"/>
      <c r="H64" s="16"/>
      <c r="I64" s="29"/>
      <c r="J64" s="16"/>
      <c r="K64" s="16"/>
      <c r="L64" s="16"/>
      <c r="M64" s="29"/>
    </row>
    <row r="65" ht="15.6" customHeight="1" spans="1:13">
      <c r="A65" s="12"/>
      <c r="B65" s="13"/>
      <c r="C65" s="13"/>
      <c r="D65" s="13"/>
      <c r="E65" s="16"/>
      <c r="F65" s="16"/>
      <c r="G65" s="16"/>
      <c r="H65" s="16"/>
      <c r="I65" s="29"/>
      <c r="J65" s="16"/>
      <c r="K65" s="16"/>
      <c r="L65" s="16"/>
      <c r="M65" s="29"/>
    </row>
    <row r="66" ht="15.6" customHeight="1" spans="1:13">
      <c r="A66" s="12"/>
      <c r="B66" s="13"/>
      <c r="C66" s="13"/>
      <c r="D66" s="13"/>
      <c r="E66" s="16"/>
      <c r="F66" s="16"/>
      <c r="G66" s="16"/>
      <c r="H66" s="16"/>
      <c r="I66" s="29"/>
      <c r="J66" s="16"/>
      <c r="K66" s="16"/>
      <c r="L66" s="16"/>
      <c r="M66" s="29"/>
    </row>
    <row r="67" ht="15.6" customHeight="1" spans="1:13">
      <c r="A67" s="12"/>
      <c r="B67" s="13"/>
      <c r="C67" s="13"/>
      <c r="D67" s="13"/>
      <c r="E67" s="16"/>
      <c r="F67" s="16"/>
      <c r="G67" s="16"/>
      <c r="H67" s="16"/>
      <c r="I67" s="29"/>
      <c r="J67" s="16"/>
      <c r="K67" s="16"/>
      <c r="L67" s="16"/>
      <c r="M67" s="29"/>
    </row>
    <row r="68" ht="15.6" customHeight="1" spans="1:13">
      <c r="A68" s="12"/>
      <c r="B68" s="13"/>
      <c r="C68" s="13"/>
      <c r="D68" s="13"/>
      <c r="E68" s="16"/>
      <c r="F68" s="16"/>
      <c r="G68" s="16"/>
      <c r="H68" s="16"/>
      <c r="I68" s="29"/>
      <c r="J68" s="16"/>
      <c r="K68" s="16"/>
      <c r="L68" s="16"/>
      <c r="M68" s="29"/>
    </row>
    <row r="69" ht="15.6" customHeight="1" spans="1:13">
      <c r="A69" s="12"/>
      <c r="B69" s="13"/>
      <c r="C69" s="13"/>
      <c r="D69" s="13"/>
      <c r="E69" s="16"/>
      <c r="F69" s="16"/>
      <c r="G69" s="16"/>
      <c r="H69" s="16"/>
      <c r="I69" s="29"/>
      <c r="J69" s="16"/>
      <c r="K69" s="16"/>
      <c r="L69" s="16"/>
      <c r="M69" s="29"/>
    </row>
    <row r="70" ht="15.6" customHeight="1" spans="1:13">
      <c r="A70" s="12"/>
      <c r="B70" s="13"/>
      <c r="C70" s="13"/>
      <c r="D70" s="13"/>
      <c r="E70" s="16"/>
      <c r="F70" s="16"/>
      <c r="G70" s="16"/>
      <c r="H70" s="16"/>
      <c r="I70" s="29"/>
      <c r="J70" s="16"/>
      <c r="K70" s="16"/>
      <c r="L70" s="16"/>
      <c r="M70" s="29"/>
    </row>
    <row r="71" ht="15.6" customHeight="1" spans="1:13">
      <c r="A71" s="12"/>
      <c r="B71" s="13"/>
      <c r="C71" s="13"/>
      <c r="D71" s="13"/>
      <c r="E71" s="16"/>
      <c r="F71" s="16"/>
      <c r="G71" s="16"/>
      <c r="H71" s="16"/>
      <c r="I71" s="29"/>
      <c r="J71" s="16"/>
      <c r="K71" s="16"/>
      <c r="L71" s="16"/>
      <c r="M71" s="29"/>
    </row>
    <row r="72" ht="15.6" customHeight="1" spans="1:13">
      <c r="A72" s="12"/>
      <c r="B72" s="13"/>
      <c r="C72" s="13"/>
      <c r="D72" s="13"/>
      <c r="E72" s="16"/>
      <c r="F72" s="16"/>
      <c r="G72" s="16"/>
      <c r="H72" s="16"/>
      <c r="I72" s="29"/>
      <c r="J72" s="16"/>
      <c r="K72" s="16"/>
      <c r="L72" s="16"/>
      <c r="M72" s="29"/>
    </row>
    <row r="73" ht="15.6" customHeight="1" spans="1:13">
      <c r="A73" s="12"/>
      <c r="B73" s="13"/>
      <c r="C73" s="13"/>
      <c r="D73" s="13"/>
      <c r="E73" s="16"/>
      <c r="F73" s="16"/>
      <c r="G73" s="16"/>
      <c r="H73" s="16"/>
      <c r="I73" s="29"/>
      <c r="J73" s="16"/>
      <c r="K73" s="16"/>
      <c r="L73" s="16"/>
      <c r="M73" s="29"/>
    </row>
    <row r="74" ht="15.6" customHeight="1" spans="1:13">
      <c r="A74" s="12"/>
      <c r="B74" s="13"/>
      <c r="C74" s="13"/>
      <c r="D74" s="13"/>
      <c r="E74" s="16"/>
      <c r="F74" s="16"/>
      <c r="G74" s="16"/>
      <c r="H74" s="16"/>
      <c r="I74" s="29"/>
      <c r="J74" s="16"/>
      <c r="K74" s="16"/>
      <c r="L74" s="16"/>
      <c r="M74" s="29"/>
    </row>
    <row r="75" ht="15.6" customHeight="1" spans="1:13">
      <c r="A75" s="12"/>
      <c r="B75" s="13"/>
      <c r="C75" s="13"/>
      <c r="D75" s="13"/>
      <c r="E75" s="16"/>
      <c r="F75" s="16"/>
      <c r="G75" s="16"/>
      <c r="H75" s="16"/>
      <c r="I75" s="29"/>
      <c r="J75" s="16"/>
      <c r="K75" s="16"/>
      <c r="L75" s="16"/>
      <c r="M75" s="29"/>
    </row>
    <row r="76" ht="15.6" customHeight="1" spans="1:13">
      <c r="A76" s="12"/>
      <c r="B76" s="13"/>
      <c r="C76" s="13"/>
      <c r="D76" s="13"/>
      <c r="E76" s="16"/>
      <c r="F76" s="16"/>
      <c r="G76" s="16"/>
      <c r="H76" s="16"/>
      <c r="I76" s="29"/>
      <c r="J76" s="16"/>
      <c r="K76" s="16"/>
      <c r="L76" s="16"/>
      <c r="M76" s="29"/>
    </row>
    <row r="77" ht="15.6" customHeight="1" spans="1:13">
      <c r="A77" s="12"/>
      <c r="B77" s="13"/>
      <c r="C77" s="13"/>
      <c r="D77" s="13"/>
      <c r="E77" s="16"/>
      <c r="F77" s="16"/>
      <c r="G77" s="16"/>
      <c r="H77" s="16"/>
      <c r="I77" s="29"/>
      <c r="J77" s="16"/>
      <c r="K77" s="16"/>
      <c r="L77" s="16"/>
      <c r="M77" s="29"/>
    </row>
    <row r="78" ht="15.6" customHeight="1" spans="1:13">
      <c r="A78" s="12"/>
      <c r="B78" s="13"/>
      <c r="C78" s="13"/>
      <c r="D78" s="13"/>
      <c r="E78" s="16"/>
      <c r="F78" s="16"/>
      <c r="G78" s="16"/>
      <c r="H78" s="16"/>
      <c r="I78" s="29"/>
      <c r="J78" s="16"/>
      <c r="K78" s="16"/>
      <c r="L78" s="16"/>
      <c r="M78" s="29"/>
    </row>
    <row r="79" ht="15.6" customHeight="1" spans="1:13">
      <c r="A79" s="12"/>
      <c r="B79" s="13"/>
      <c r="C79" s="13"/>
      <c r="D79" s="13"/>
      <c r="E79" s="16"/>
      <c r="F79" s="16"/>
      <c r="G79" s="16"/>
      <c r="H79" s="16"/>
      <c r="I79" s="29"/>
      <c r="J79" s="16"/>
      <c r="K79" s="16"/>
      <c r="L79" s="16"/>
      <c r="M79" s="29"/>
    </row>
    <row r="80" ht="15.6" customHeight="1" spans="1:13">
      <c r="A80" s="12"/>
      <c r="B80" s="13"/>
      <c r="C80" s="13"/>
      <c r="D80" s="13"/>
      <c r="E80" s="16"/>
      <c r="F80" s="16"/>
      <c r="G80" s="16"/>
      <c r="H80" s="16"/>
      <c r="I80" s="29"/>
      <c r="J80" s="16"/>
      <c r="K80" s="16"/>
      <c r="L80" s="16"/>
      <c r="M80" s="29"/>
    </row>
    <row r="81" ht="15.6" customHeight="1" spans="1:13">
      <c r="A81" s="12"/>
      <c r="B81" s="13"/>
      <c r="C81" s="13"/>
      <c r="D81" s="13"/>
      <c r="E81" s="16"/>
      <c r="F81" s="16"/>
      <c r="G81" s="16"/>
      <c r="H81" s="16"/>
      <c r="I81" s="29"/>
      <c r="J81" s="16"/>
      <c r="K81" s="16"/>
      <c r="L81" s="16"/>
      <c r="M81" s="29"/>
    </row>
    <row r="82" ht="15.6" customHeight="1" spans="1:13">
      <c r="A82" s="12"/>
      <c r="B82" s="13"/>
      <c r="C82" s="13"/>
      <c r="D82" s="13"/>
      <c r="E82" s="16"/>
      <c r="F82" s="16"/>
      <c r="G82" s="16"/>
      <c r="H82" s="16"/>
      <c r="I82" s="29"/>
      <c r="J82" s="16"/>
      <c r="K82" s="16"/>
      <c r="L82" s="16"/>
      <c r="M82" s="29"/>
    </row>
    <row r="83" ht="15.6" customHeight="1" spans="1:13">
      <c r="A83" s="12"/>
      <c r="B83" s="13"/>
      <c r="C83" s="13"/>
      <c r="D83" s="13"/>
      <c r="E83" s="16"/>
      <c r="F83" s="16"/>
      <c r="G83" s="16"/>
      <c r="H83" s="16"/>
      <c r="I83" s="29"/>
      <c r="J83" s="16"/>
      <c r="K83" s="16"/>
      <c r="L83" s="16"/>
      <c r="M83" s="29"/>
    </row>
    <row r="84" ht="15.6" customHeight="1" spans="1:13">
      <c r="A84" s="12"/>
      <c r="B84" s="13"/>
      <c r="C84" s="13"/>
      <c r="D84" s="13"/>
      <c r="E84" s="16"/>
      <c r="F84" s="16"/>
      <c r="G84" s="16"/>
      <c r="H84" s="16"/>
      <c r="I84" s="29"/>
      <c r="J84" s="16"/>
      <c r="K84" s="16"/>
      <c r="L84" s="16"/>
      <c r="M84" s="29"/>
    </row>
    <row r="85" ht="15.6" customHeight="1" spans="1:13">
      <c r="A85" s="12"/>
      <c r="B85" s="13"/>
      <c r="C85" s="13"/>
      <c r="D85" s="13"/>
      <c r="E85" s="16"/>
      <c r="F85" s="16"/>
      <c r="G85" s="16"/>
      <c r="H85" s="16"/>
      <c r="I85" s="29"/>
      <c r="J85" s="16"/>
      <c r="K85" s="16"/>
      <c r="L85" s="16"/>
      <c r="M85" s="29"/>
    </row>
    <row r="86" ht="15.6" customHeight="1" spans="1:13">
      <c r="A86" s="12"/>
      <c r="B86" s="13"/>
      <c r="C86" s="13"/>
      <c r="D86" s="13"/>
      <c r="E86" s="16"/>
      <c r="F86" s="16"/>
      <c r="G86" s="16"/>
      <c r="H86" s="16"/>
      <c r="I86" s="29"/>
      <c r="J86" s="16"/>
      <c r="K86" s="16"/>
      <c r="L86" s="16"/>
      <c r="M86" s="29"/>
    </row>
    <row r="87" ht="15.6" customHeight="1" spans="1:13">
      <c r="A87" s="12"/>
      <c r="B87" s="13"/>
      <c r="C87" s="13"/>
      <c r="D87" s="13"/>
      <c r="E87" s="16"/>
      <c r="F87" s="16"/>
      <c r="G87" s="16"/>
      <c r="H87" s="16"/>
      <c r="I87" s="29"/>
      <c r="J87" s="16"/>
      <c r="K87" s="16"/>
      <c r="L87" s="16"/>
      <c r="M87" s="29"/>
    </row>
    <row r="88" ht="15.6" customHeight="1" spans="1:13">
      <c r="A88" s="12"/>
      <c r="B88" s="13"/>
      <c r="C88" s="13"/>
      <c r="D88" s="13"/>
      <c r="E88" s="16"/>
      <c r="F88" s="16"/>
      <c r="G88" s="16"/>
      <c r="H88" s="16"/>
      <c r="I88" s="29"/>
      <c r="J88" s="16"/>
      <c r="K88" s="16"/>
      <c r="L88" s="16"/>
      <c r="M88" s="29"/>
    </row>
    <row r="89" ht="15.6" customHeight="1" spans="1:13">
      <c r="A89" s="12"/>
      <c r="B89" s="13"/>
      <c r="C89" s="13"/>
      <c r="D89" s="13"/>
      <c r="E89" s="16"/>
      <c r="F89" s="16"/>
      <c r="G89" s="16"/>
      <c r="H89" s="16"/>
      <c r="I89" s="29"/>
      <c r="J89" s="16"/>
      <c r="K89" s="16"/>
      <c r="L89" s="16"/>
      <c r="M89" s="29"/>
    </row>
    <row r="90" ht="15.6" customHeight="1" spans="1:13">
      <c r="A90" s="12"/>
      <c r="B90" s="13"/>
      <c r="C90" s="13"/>
      <c r="D90" s="13"/>
      <c r="E90" s="16"/>
      <c r="F90" s="16"/>
      <c r="G90" s="16"/>
      <c r="H90" s="16"/>
      <c r="I90" s="29"/>
      <c r="J90" s="16"/>
      <c r="K90" s="16"/>
      <c r="L90" s="16"/>
      <c r="M90" s="29"/>
    </row>
    <row r="91" ht="15.6" customHeight="1" spans="1:13">
      <c r="A91" s="12"/>
      <c r="B91" s="13"/>
      <c r="C91" s="13"/>
      <c r="D91" s="13"/>
      <c r="E91" s="16"/>
      <c r="F91" s="16"/>
      <c r="G91" s="16"/>
      <c r="H91" s="16"/>
      <c r="I91" s="29"/>
      <c r="J91" s="16"/>
      <c r="K91" s="16"/>
      <c r="L91" s="16"/>
      <c r="M91" s="29"/>
    </row>
    <row r="92" ht="15.6" customHeight="1" spans="1:13">
      <c r="A92" s="12"/>
      <c r="B92" s="13"/>
      <c r="C92" s="13"/>
      <c r="D92" s="13"/>
      <c r="E92" s="16"/>
      <c r="F92" s="16"/>
      <c r="G92" s="16"/>
      <c r="H92" s="16"/>
      <c r="I92" s="29"/>
      <c r="J92" s="16"/>
      <c r="K92" s="16"/>
      <c r="L92" s="16"/>
      <c r="M92" s="29"/>
    </row>
    <row r="93" ht="15.6" customHeight="1" spans="1:13">
      <c r="A93" s="12"/>
      <c r="B93" s="13"/>
      <c r="C93" s="13"/>
      <c r="D93" s="13"/>
      <c r="E93" s="16"/>
      <c r="F93" s="16"/>
      <c r="G93" s="16"/>
      <c r="H93" s="16"/>
      <c r="I93" s="29"/>
      <c r="J93" s="16"/>
      <c r="K93" s="16"/>
      <c r="L93" s="16"/>
      <c r="M93" s="29"/>
    </row>
    <row r="94" ht="15.6" customHeight="1" spans="1:13">
      <c r="A94" s="12"/>
      <c r="B94" s="13"/>
      <c r="C94" s="13"/>
      <c r="D94" s="13"/>
      <c r="E94" s="16"/>
      <c r="F94" s="16"/>
      <c r="G94" s="16"/>
      <c r="H94" s="16"/>
      <c r="I94" s="29"/>
      <c r="J94" s="16"/>
      <c r="K94" s="16"/>
      <c r="L94" s="16"/>
      <c r="M94" s="29"/>
    </row>
    <row r="95" ht="15.6" customHeight="1" spans="1:13">
      <c r="A95" s="12"/>
      <c r="B95" s="13"/>
      <c r="C95" s="13"/>
      <c r="D95" s="13"/>
      <c r="E95" s="16"/>
      <c r="F95" s="16"/>
      <c r="G95" s="16"/>
      <c r="H95" s="16"/>
      <c r="I95" s="29"/>
      <c r="J95" s="16"/>
      <c r="K95" s="16"/>
      <c r="L95" s="16"/>
      <c r="M95" s="29"/>
    </row>
    <row r="96" ht="15.6" customHeight="1" spans="1:13">
      <c r="A96" s="12"/>
      <c r="B96" s="13"/>
      <c r="C96" s="13"/>
      <c r="D96" s="13"/>
      <c r="E96" s="16"/>
      <c r="F96" s="16"/>
      <c r="G96" s="16"/>
      <c r="H96" s="16"/>
      <c r="I96" s="29"/>
      <c r="J96" s="16"/>
      <c r="K96" s="16"/>
      <c r="L96" s="16"/>
      <c r="M96" s="29"/>
    </row>
    <row r="97" ht="15.6" customHeight="1" spans="1:13">
      <c r="A97" s="12"/>
      <c r="B97" s="13"/>
      <c r="C97" s="13"/>
      <c r="D97" s="13"/>
      <c r="E97" s="16"/>
      <c r="F97" s="16"/>
      <c r="G97" s="16"/>
      <c r="H97" s="16"/>
      <c r="I97" s="29"/>
      <c r="J97" s="16"/>
      <c r="K97" s="16"/>
      <c r="L97" s="16"/>
      <c r="M97" s="29"/>
    </row>
    <row r="98" ht="15.6" customHeight="1" spans="1:13">
      <c r="A98" s="12"/>
      <c r="B98" s="13"/>
      <c r="C98" s="13"/>
      <c r="D98" s="13"/>
      <c r="E98" s="16"/>
      <c r="F98" s="16"/>
      <c r="G98" s="16"/>
      <c r="H98" s="16"/>
      <c r="I98" s="29"/>
      <c r="J98" s="16"/>
      <c r="K98" s="16"/>
      <c r="L98" s="16"/>
      <c r="M98" s="29"/>
    </row>
    <row r="99" ht="15.6" customHeight="1" spans="1:13">
      <c r="A99" s="12"/>
      <c r="B99" s="13"/>
      <c r="C99" s="13"/>
      <c r="D99" s="13"/>
      <c r="E99" s="16"/>
      <c r="F99" s="16"/>
      <c r="G99" s="16"/>
      <c r="H99" s="16"/>
      <c r="I99" s="29"/>
      <c r="J99" s="16"/>
      <c r="K99" s="16"/>
      <c r="L99" s="16"/>
      <c r="M99" s="29"/>
    </row>
    <row r="100" ht="15.6" customHeight="1" spans="1:13">
      <c r="A100" s="12"/>
      <c r="B100" s="13"/>
      <c r="C100" s="13"/>
      <c r="D100" s="13"/>
      <c r="E100" s="16"/>
      <c r="F100" s="16"/>
      <c r="G100" s="16"/>
      <c r="H100" s="16"/>
      <c r="I100" s="29"/>
      <c r="J100" s="16"/>
      <c r="K100" s="16"/>
      <c r="L100" s="16"/>
      <c r="M100" s="29"/>
    </row>
  </sheetData>
  <mergeCells count="4">
    <mergeCell ref="A1:B1"/>
    <mergeCell ref="C1:E1"/>
    <mergeCell ref="F1:I1"/>
    <mergeCell ref="J1:K1"/>
  </mergeCells>
  <conditionalFormatting sqref="A3:E100 J3:M100">
    <cfRule type="expression" dxfId="0" priority="2">
      <formula>MOD(ROW(),2)=0</formula>
    </cfRule>
  </conditionalFormatting>
  <conditionalFormatting sqref="F3:I100">
    <cfRule type="expression" dxfId="0" priority="1">
      <formula>MOD(ROW(),2)=0</formula>
    </cfRule>
  </conditionalFormatting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W100"/>
  <sheetViews>
    <sheetView workbookViewId="0">
      <pane ySplit="2" topLeftCell="A3" activePane="bottomLeft" state="frozen"/>
      <selection/>
      <selection pane="bottomLeft" activeCell="N1" sqref="N1:W4"/>
    </sheetView>
  </sheetViews>
  <sheetFormatPr defaultColWidth="9" defaultRowHeight="14.4"/>
  <cols>
    <col min="1" max="1" width="19.1111111111111" customWidth="1"/>
    <col min="3" max="3" width="26.2222222222222" customWidth="1"/>
  </cols>
  <sheetData>
    <row r="1" ht="31.2" customHeight="1" spans="1:23">
      <c r="A1" s="1" t="s">
        <v>0</v>
      </c>
      <c r="B1" s="2"/>
      <c r="C1" s="3" t="s">
        <v>1</v>
      </c>
      <c r="D1" s="4"/>
      <c r="E1" s="5"/>
      <c r="F1" s="6" t="s">
        <v>2</v>
      </c>
      <c r="G1" s="7"/>
      <c r="H1" s="7"/>
      <c r="I1" s="2"/>
      <c r="J1" s="17" t="s">
        <v>3</v>
      </c>
      <c r="K1" s="2"/>
      <c r="L1" s="18" t="s">
        <v>4</v>
      </c>
      <c r="M1" s="19" t="s">
        <v>5</v>
      </c>
      <c r="N1" s="20" t="s">
        <v>6</v>
      </c>
      <c r="O1" s="21" t="s">
        <v>7</v>
      </c>
      <c r="P1" s="21" t="s">
        <v>8</v>
      </c>
      <c r="Q1" s="21" t="s">
        <v>9</v>
      </c>
      <c r="R1" s="30" t="s">
        <v>10</v>
      </c>
      <c r="S1" s="31" t="s">
        <v>11</v>
      </c>
      <c r="T1" s="32" t="s">
        <v>12</v>
      </c>
      <c r="U1" s="32" t="s">
        <v>13</v>
      </c>
      <c r="V1" s="32" t="s">
        <v>14</v>
      </c>
      <c r="W1" s="33" t="s">
        <v>15</v>
      </c>
    </row>
    <row r="2" ht="47.55" customHeight="1" spans="1:23">
      <c r="A2" s="8" t="s">
        <v>16</v>
      </c>
      <c r="B2" s="9" t="s">
        <v>17</v>
      </c>
      <c r="C2" s="10" t="s">
        <v>18</v>
      </c>
      <c r="D2" s="10" t="s">
        <v>19</v>
      </c>
      <c r="E2" s="10" t="s">
        <v>20</v>
      </c>
      <c r="F2" s="11" t="s">
        <v>21</v>
      </c>
      <c r="G2" s="11" t="s">
        <v>22</v>
      </c>
      <c r="H2" s="11" t="s">
        <v>23</v>
      </c>
      <c r="I2" s="11" t="s">
        <v>24</v>
      </c>
      <c r="J2" s="22" t="s">
        <v>25</v>
      </c>
      <c r="K2" s="22" t="s">
        <v>26</v>
      </c>
      <c r="L2" s="23" t="s">
        <v>27</v>
      </c>
      <c r="M2" s="24" t="s">
        <v>28</v>
      </c>
      <c r="N2" s="25">
        <f>QUARTILE(F3:F200,4)</f>
        <v>0.0834</v>
      </c>
      <c r="O2" s="26">
        <f>QUARTILE(F3:F200,3)</f>
        <v>0.024025</v>
      </c>
      <c r="P2" s="26">
        <f>QUARTILE(F3:F200,2)</f>
        <v>0.00515</v>
      </c>
      <c r="Q2" s="26">
        <f>QUARTILE(F3:F200,1)</f>
        <v>-0.0026</v>
      </c>
      <c r="R2" s="34">
        <f>QUARTILE(F3:F200,0)</f>
        <v>-0.0756</v>
      </c>
      <c r="S2" s="25">
        <f>QUARTILE(H3:H200,4)</f>
        <v>0.4348</v>
      </c>
      <c r="T2" s="26">
        <f>QUARTILE(H3:H200,3)</f>
        <v>0.0737</v>
      </c>
      <c r="U2" s="26">
        <f>QUARTILE(H3:H200,2)</f>
        <v>0.0294</v>
      </c>
      <c r="V2" s="26">
        <f>QUARTILE(H3:H200,1)</f>
        <v>-0.0243</v>
      </c>
      <c r="W2" s="34">
        <f>QUARTILE(H3:H200,0)</f>
        <v>-0.2342</v>
      </c>
    </row>
    <row r="3" ht="15.6" customHeight="1" spans="1:13">
      <c r="A3" s="12" t="s">
        <v>44</v>
      </c>
      <c r="B3" s="13" t="s">
        <v>30</v>
      </c>
      <c r="C3" s="14" t="s">
        <v>1877</v>
      </c>
      <c r="D3" s="14" t="s">
        <v>1878</v>
      </c>
      <c r="E3" s="15" t="s">
        <v>1879</v>
      </c>
      <c r="F3" s="16">
        <v>0.0834</v>
      </c>
      <c r="G3" s="16">
        <v>-0.0781</v>
      </c>
      <c r="H3" s="16">
        <v>-0.0541</v>
      </c>
      <c r="I3" s="27">
        <v>0.1776</v>
      </c>
      <c r="J3" s="16">
        <v>0.2303</v>
      </c>
      <c r="K3" s="16">
        <v>0.2435</v>
      </c>
      <c r="L3" s="16">
        <v>0.2648</v>
      </c>
      <c r="M3" s="29">
        <v>0.5951</v>
      </c>
    </row>
    <row r="4" ht="15.6" customHeight="1" spans="1:13">
      <c r="A4" s="12" t="s">
        <v>1093</v>
      </c>
      <c r="B4" s="13" t="s">
        <v>38</v>
      </c>
      <c r="C4" s="13" t="s">
        <v>1880</v>
      </c>
      <c r="D4" s="13" t="s">
        <v>1878</v>
      </c>
      <c r="E4" s="16" t="s">
        <v>1881</v>
      </c>
      <c r="F4" s="16">
        <v>0.0752</v>
      </c>
      <c r="G4" s="16">
        <v>-0.0617</v>
      </c>
      <c r="H4" s="16">
        <v>-0.2342</v>
      </c>
      <c r="I4" s="27">
        <v>0.1284</v>
      </c>
      <c r="J4" s="16">
        <v>0.2996</v>
      </c>
      <c r="K4" s="16">
        <v>0.3379</v>
      </c>
      <c r="L4" s="16">
        <v>0.2055</v>
      </c>
      <c r="M4" s="29">
        <v>0.5276</v>
      </c>
    </row>
    <row r="5" ht="15.6" customHeight="1" spans="1:13">
      <c r="A5" s="12" t="s">
        <v>1326</v>
      </c>
      <c r="B5" s="13" t="s">
        <v>217</v>
      </c>
      <c r="C5" s="13" t="s">
        <v>1882</v>
      </c>
      <c r="D5" s="13" t="s">
        <v>1878</v>
      </c>
      <c r="E5" s="16" t="s">
        <v>125</v>
      </c>
      <c r="F5" s="16">
        <v>0.0455</v>
      </c>
      <c r="G5" s="16">
        <v>0.0322</v>
      </c>
      <c r="H5" s="16">
        <v>-0.0852</v>
      </c>
      <c r="I5" s="27">
        <v>0.1089</v>
      </c>
      <c r="J5" s="16">
        <v>0.1442</v>
      </c>
      <c r="K5" s="16">
        <v>0.1596</v>
      </c>
      <c r="L5" s="16">
        <v>0.163</v>
      </c>
      <c r="M5" s="29">
        <v>0.5455</v>
      </c>
    </row>
    <row r="6" ht="15.6" customHeight="1" spans="1:13">
      <c r="A6" s="12" t="s">
        <v>1883</v>
      </c>
      <c r="B6" s="13" t="s">
        <v>54</v>
      </c>
      <c r="C6" s="13" t="s">
        <v>1884</v>
      </c>
      <c r="D6" s="13" t="s">
        <v>1878</v>
      </c>
      <c r="E6" s="16" t="s">
        <v>1692</v>
      </c>
      <c r="F6" s="16">
        <v>0.0451</v>
      </c>
      <c r="G6" s="16">
        <v>-0.0261</v>
      </c>
      <c r="H6" s="16">
        <v>0.0223</v>
      </c>
      <c r="I6" s="27">
        <v>0.1321</v>
      </c>
      <c r="J6" s="16">
        <v>0.1446</v>
      </c>
      <c r="K6" s="16">
        <v>0.2983</v>
      </c>
      <c r="L6" s="16">
        <v>0.1973</v>
      </c>
      <c r="M6" s="29">
        <v>0.5684</v>
      </c>
    </row>
    <row r="7" ht="15.6" customHeight="1" spans="1:13">
      <c r="A7" s="12" t="s">
        <v>1885</v>
      </c>
      <c r="B7" s="13" t="s">
        <v>217</v>
      </c>
      <c r="C7" s="13" t="s">
        <v>1886</v>
      </c>
      <c r="D7" s="13" t="s">
        <v>1878</v>
      </c>
      <c r="E7" s="16" t="s">
        <v>1887</v>
      </c>
      <c r="F7" s="16">
        <v>0.0438</v>
      </c>
      <c r="G7" s="16">
        <v>-0.0892</v>
      </c>
      <c r="H7" s="16">
        <v>-0.1064</v>
      </c>
      <c r="I7" s="27">
        <v>0.2846</v>
      </c>
      <c r="J7" s="16">
        <v>0.2315</v>
      </c>
      <c r="K7" s="16">
        <v>0.2315</v>
      </c>
      <c r="L7" s="16">
        <v>0.1836</v>
      </c>
      <c r="M7" s="29">
        <v>1.4417</v>
      </c>
    </row>
    <row r="8" ht="15.6" customHeight="1" spans="1:13">
      <c r="A8" s="12" t="s">
        <v>1888</v>
      </c>
      <c r="B8" s="13" t="s">
        <v>38</v>
      </c>
      <c r="C8" s="13" t="s">
        <v>1889</v>
      </c>
      <c r="D8" s="13" t="s">
        <v>1878</v>
      </c>
      <c r="E8" s="16" t="s">
        <v>1890</v>
      </c>
      <c r="F8" s="16">
        <v>0.0372</v>
      </c>
      <c r="G8" s="16">
        <v>-0.0189</v>
      </c>
      <c r="H8" s="16">
        <v>0.3233</v>
      </c>
      <c r="I8" s="27">
        <v>0.6036</v>
      </c>
      <c r="J8" s="16">
        <v>0.0985</v>
      </c>
      <c r="K8" s="16">
        <v>0.0985</v>
      </c>
      <c r="L8" s="16">
        <v>0.2756</v>
      </c>
      <c r="M8" s="29">
        <v>2.1171</v>
      </c>
    </row>
    <row r="9" ht="15.6" customHeight="1" spans="1:13">
      <c r="A9" s="12" t="s">
        <v>1891</v>
      </c>
      <c r="B9" s="13" t="s">
        <v>30</v>
      </c>
      <c r="C9" s="13" t="s">
        <v>1892</v>
      </c>
      <c r="D9" s="13" t="s">
        <v>1878</v>
      </c>
      <c r="E9" s="16" t="s">
        <v>1191</v>
      </c>
      <c r="F9" s="16">
        <v>0.0352</v>
      </c>
      <c r="G9" s="16">
        <v>-0.0801</v>
      </c>
      <c r="H9" s="16">
        <v>-0.1219</v>
      </c>
      <c r="I9" s="27">
        <v>0.0825</v>
      </c>
      <c r="J9" s="16">
        <v>0.204</v>
      </c>
      <c r="K9" s="16">
        <v>0.204</v>
      </c>
      <c r="L9" s="16">
        <v>0.2108</v>
      </c>
      <c r="M9" s="29">
        <v>0.2963</v>
      </c>
    </row>
    <row r="10" ht="15.6" customHeight="1" spans="1:13">
      <c r="A10" s="12" t="s">
        <v>377</v>
      </c>
      <c r="B10" s="13" t="s">
        <v>156</v>
      </c>
      <c r="C10" s="13" t="s">
        <v>1893</v>
      </c>
      <c r="D10" s="13" t="s">
        <v>1878</v>
      </c>
      <c r="E10" s="16" t="s">
        <v>1017</v>
      </c>
      <c r="F10" s="16">
        <v>0.0328</v>
      </c>
      <c r="G10" s="16">
        <v>0.0339</v>
      </c>
      <c r="H10" s="16">
        <v>0.0511</v>
      </c>
      <c r="I10" s="27">
        <v>0.2043</v>
      </c>
      <c r="J10" s="16">
        <v>0.1514</v>
      </c>
      <c r="K10" s="16">
        <v>0.1514</v>
      </c>
      <c r="L10" s="16">
        <v>0.1407</v>
      </c>
      <c r="M10" s="29">
        <v>1.3102</v>
      </c>
    </row>
    <row r="11" ht="15.6" customHeight="1" spans="1:13">
      <c r="A11" s="12" t="s">
        <v>354</v>
      </c>
      <c r="B11" s="13" t="s">
        <v>54</v>
      </c>
      <c r="C11" s="13" t="s">
        <v>1894</v>
      </c>
      <c r="D11" s="13" t="s">
        <v>1878</v>
      </c>
      <c r="E11" s="16" t="s">
        <v>1895</v>
      </c>
      <c r="F11" s="16">
        <v>0.032</v>
      </c>
      <c r="G11" s="16">
        <v>0.023</v>
      </c>
      <c r="H11" s="16">
        <v>0.0633</v>
      </c>
      <c r="I11" s="27">
        <v>0.1414</v>
      </c>
      <c r="J11" s="16">
        <v>0.0423</v>
      </c>
      <c r="K11" s="16">
        <v>0.1148</v>
      </c>
      <c r="L11" s="16">
        <v>0.0974</v>
      </c>
      <c r="M11" s="29">
        <v>1.2457</v>
      </c>
    </row>
    <row r="12" ht="15.6" customHeight="1" spans="1:13">
      <c r="A12" s="12" t="s">
        <v>1351</v>
      </c>
      <c r="B12" s="13" t="s">
        <v>61</v>
      </c>
      <c r="C12" s="13" t="s">
        <v>1896</v>
      </c>
      <c r="D12" s="13" t="s">
        <v>1878</v>
      </c>
      <c r="E12" s="16" t="s">
        <v>1816</v>
      </c>
      <c r="F12" s="16">
        <v>0.0288</v>
      </c>
      <c r="G12" s="16">
        <v>-0.0083</v>
      </c>
      <c r="H12" s="16">
        <v>-0.094</v>
      </c>
      <c r="I12" s="27">
        <v>-0.0149</v>
      </c>
      <c r="J12" s="16">
        <v>0.1308</v>
      </c>
      <c r="K12" s="16">
        <v>0.196</v>
      </c>
      <c r="L12" s="16">
        <v>0.1306</v>
      </c>
      <c r="M12" s="29">
        <v>-0.2673</v>
      </c>
    </row>
    <row r="13" ht="15.6" customHeight="1" spans="1:13">
      <c r="A13" s="12" t="s">
        <v>1897</v>
      </c>
      <c r="B13" s="13" t="s">
        <v>30</v>
      </c>
      <c r="C13" s="13" t="s">
        <v>1898</v>
      </c>
      <c r="D13" s="13" t="s">
        <v>1878</v>
      </c>
      <c r="E13" s="16" t="s">
        <v>1042</v>
      </c>
      <c r="F13" s="16">
        <v>0.0244</v>
      </c>
      <c r="G13" s="16">
        <v>-0.0808</v>
      </c>
      <c r="H13" s="16">
        <v>-0.1249</v>
      </c>
      <c r="I13" s="27">
        <v>0.1468</v>
      </c>
      <c r="J13" s="16">
        <v>0.1756</v>
      </c>
      <c r="K13" s="16">
        <v>0.1757</v>
      </c>
      <c r="L13" s="16">
        <v>0.1329</v>
      </c>
      <c r="M13" s="29">
        <v>0.9539</v>
      </c>
    </row>
    <row r="14" ht="15.6" customHeight="1" spans="1:13">
      <c r="A14" s="12" t="s">
        <v>1899</v>
      </c>
      <c r="B14" s="13" t="s">
        <v>30</v>
      </c>
      <c r="C14" s="13" t="s">
        <v>1900</v>
      </c>
      <c r="D14" s="13" t="s">
        <v>1878</v>
      </c>
      <c r="E14" s="16" t="s">
        <v>1901</v>
      </c>
      <c r="F14" s="16">
        <v>0.0239</v>
      </c>
      <c r="G14" s="16">
        <v>0.042</v>
      </c>
      <c r="H14" s="16">
        <v>0.1282</v>
      </c>
      <c r="I14" s="27">
        <v>0.1834</v>
      </c>
      <c r="J14" s="16">
        <v>0.0818</v>
      </c>
      <c r="K14" s="16">
        <v>0.0818</v>
      </c>
      <c r="L14" s="16">
        <v>0.1207</v>
      </c>
      <c r="M14" s="29">
        <v>1.3538</v>
      </c>
    </row>
    <row r="15" ht="15.6" customHeight="1" spans="1:13">
      <c r="A15" s="12" t="s">
        <v>1902</v>
      </c>
      <c r="B15" s="13" t="s">
        <v>38</v>
      </c>
      <c r="C15" s="13" t="s">
        <v>1903</v>
      </c>
      <c r="D15" s="13" t="s">
        <v>1878</v>
      </c>
      <c r="E15" s="16" t="s">
        <v>1904</v>
      </c>
      <c r="F15" s="16">
        <v>0.0198</v>
      </c>
      <c r="G15" s="16">
        <v>0.0562</v>
      </c>
      <c r="H15" s="16">
        <v>0.4348</v>
      </c>
      <c r="I15" s="27">
        <v>0.2271</v>
      </c>
      <c r="J15" s="16">
        <v>0.0233</v>
      </c>
      <c r="K15" s="16">
        <v>0.1284</v>
      </c>
      <c r="L15" s="16">
        <v>0.1406</v>
      </c>
      <c r="M15" s="29">
        <v>1.4729</v>
      </c>
    </row>
    <row r="16" ht="15.6" customHeight="1" spans="1:13">
      <c r="A16" s="12" t="s">
        <v>1905</v>
      </c>
      <c r="B16" s="13" t="s">
        <v>38</v>
      </c>
      <c r="C16" s="13" t="s">
        <v>1906</v>
      </c>
      <c r="D16" s="13" t="s">
        <v>1878</v>
      </c>
      <c r="E16" s="16" t="s">
        <v>1657</v>
      </c>
      <c r="F16" s="16">
        <v>0.0187</v>
      </c>
      <c r="G16" s="16">
        <v>0.0417</v>
      </c>
      <c r="H16" s="16">
        <v>0.207</v>
      </c>
      <c r="I16" s="27">
        <v>0.1696</v>
      </c>
      <c r="J16" s="16">
        <v>0.2242</v>
      </c>
      <c r="K16" s="16">
        <v>0.6179</v>
      </c>
      <c r="L16" s="16">
        <v>0.4867</v>
      </c>
      <c r="M16" s="29">
        <v>0.3075</v>
      </c>
    </row>
    <row r="17" ht="15.6" customHeight="1" spans="1:13">
      <c r="A17" s="12" t="s">
        <v>1907</v>
      </c>
      <c r="B17" s="13" t="s">
        <v>30</v>
      </c>
      <c r="C17" s="13" t="s">
        <v>1908</v>
      </c>
      <c r="D17" s="13" t="s">
        <v>1878</v>
      </c>
      <c r="E17" s="16" t="s">
        <v>1909</v>
      </c>
      <c r="F17" s="16">
        <v>0.0171</v>
      </c>
      <c r="G17" s="16">
        <v>-0.0648</v>
      </c>
      <c r="H17" s="16">
        <v>-0.0485</v>
      </c>
      <c r="I17" s="27">
        <v>0.0492</v>
      </c>
      <c r="J17" s="16">
        <v>0.0981</v>
      </c>
      <c r="K17" s="16">
        <v>0.1134</v>
      </c>
      <c r="L17" s="16">
        <v>0.0831</v>
      </c>
      <c r="M17" s="29">
        <v>0.3517</v>
      </c>
    </row>
    <row r="18" ht="15.6" customHeight="1" spans="1:13">
      <c r="A18" s="12" t="s">
        <v>97</v>
      </c>
      <c r="B18" s="13" t="s">
        <v>30</v>
      </c>
      <c r="C18" s="13" t="s">
        <v>1910</v>
      </c>
      <c r="D18" s="13" t="s">
        <v>1878</v>
      </c>
      <c r="E18" s="16" t="s">
        <v>1911</v>
      </c>
      <c r="F18" s="16">
        <v>0.0137</v>
      </c>
      <c r="G18" s="16">
        <v>-0.0543</v>
      </c>
      <c r="H18" s="16">
        <v>-0.0455</v>
      </c>
      <c r="I18" s="27">
        <v>0.0485</v>
      </c>
      <c r="J18" s="16">
        <v>0.0907</v>
      </c>
      <c r="K18" s="16">
        <v>0.0907</v>
      </c>
      <c r="L18" s="16">
        <v>0.1292</v>
      </c>
      <c r="M18" s="29">
        <v>0.2206</v>
      </c>
    </row>
    <row r="19" ht="15.6" customHeight="1" spans="1:13">
      <c r="A19" s="12" t="s">
        <v>910</v>
      </c>
      <c r="B19" s="13" t="s">
        <v>61</v>
      </c>
      <c r="C19" s="13" t="s">
        <v>1912</v>
      </c>
      <c r="D19" s="13" t="s">
        <v>1878</v>
      </c>
      <c r="E19" s="16" t="s">
        <v>1913</v>
      </c>
      <c r="F19" s="16">
        <v>0.0075</v>
      </c>
      <c r="G19" s="16">
        <v>-0.0157</v>
      </c>
      <c r="H19" s="16">
        <v>0.0133</v>
      </c>
      <c r="I19" s="27">
        <v>0.1676</v>
      </c>
      <c r="J19" s="16">
        <v>0.0777</v>
      </c>
      <c r="K19" s="16">
        <v>0.0777</v>
      </c>
      <c r="L19" s="16">
        <v>0.1335</v>
      </c>
      <c r="M19" s="29">
        <v>1.1051</v>
      </c>
    </row>
    <row r="20" ht="15.6" customHeight="1" spans="1:13">
      <c r="A20" s="12" t="s">
        <v>1566</v>
      </c>
      <c r="B20" s="13" t="s">
        <v>54</v>
      </c>
      <c r="C20" s="13" t="s">
        <v>1914</v>
      </c>
      <c r="D20" s="13" t="s">
        <v>1878</v>
      </c>
      <c r="E20" s="16" t="s">
        <v>1568</v>
      </c>
      <c r="F20" s="16">
        <v>0.0075</v>
      </c>
      <c r="G20" s="16"/>
      <c r="H20" s="16">
        <v>-0.0406</v>
      </c>
      <c r="I20" s="27">
        <v>0.0198</v>
      </c>
      <c r="J20" s="16">
        <v>0.0539</v>
      </c>
      <c r="K20" s="16">
        <v>0.0679</v>
      </c>
      <c r="L20" s="16">
        <v>0.0477</v>
      </c>
      <c r="M20" s="29">
        <v>-0.0043</v>
      </c>
    </row>
    <row r="21" ht="15.6" customHeight="1" spans="1:13">
      <c r="A21" s="12" t="s">
        <v>434</v>
      </c>
      <c r="B21" s="13" t="s">
        <v>156</v>
      </c>
      <c r="C21" s="13" t="s">
        <v>1915</v>
      </c>
      <c r="D21" s="13" t="s">
        <v>1878</v>
      </c>
      <c r="E21" s="16" t="s">
        <v>1916</v>
      </c>
      <c r="F21" s="16">
        <v>0.0073</v>
      </c>
      <c r="G21" s="16">
        <v>0.028</v>
      </c>
      <c r="H21" s="16">
        <v>0.0747</v>
      </c>
      <c r="I21" s="27">
        <v>0.1178</v>
      </c>
      <c r="J21" s="16">
        <v>0.0182</v>
      </c>
      <c r="K21" s="16">
        <v>0.0812</v>
      </c>
      <c r="L21" s="16">
        <v>0.0605</v>
      </c>
      <c r="M21" s="29">
        <v>1.6172</v>
      </c>
    </row>
    <row r="22" ht="15.6" customHeight="1" spans="1:13">
      <c r="A22" s="12" t="s">
        <v>288</v>
      </c>
      <c r="B22" s="13" t="s">
        <v>217</v>
      </c>
      <c r="C22" s="13" t="s">
        <v>1917</v>
      </c>
      <c r="D22" s="13" t="s">
        <v>1878</v>
      </c>
      <c r="E22" s="16" t="s">
        <v>1918</v>
      </c>
      <c r="F22" s="16">
        <v>0.0069</v>
      </c>
      <c r="G22" s="16">
        <v>-0.0341</v>
      </c>
      <c r="H22" s="16">
        <v>0.072</v>
      </c>
      <c r="I22" s="27">
        <v>0.1861</v>
      </c>
      <c r="J22" s="16">
        <v>0.0769</v>
      </c>
      <c r="K22" s="16">
        <v>0.0769</v>
      </c>
      <c r="L22" s="16">
        <v>0.119</v>
      </c>
      <c r="M22" s="29">
        <v>1.3953</v>
      </c>
    </row>
    <row r="23" ht="15.6" customHeight="1" spans="1:13">
      <c r="A23" s="12" t="s">
        <v>1588</v>
      </c>
      <c r="B23" s="13" t="s">
        <v>38</v>
      </c>
      <c r="C23" s="13" t="s">
        <v>1919</v>
      </c>
      <c r="D23" s="13" t="s">
        <v>1878</v>
      </c>
      <c r="E23" s="16" t="s">
        <v>1576</v>
      </c>
      <c r="F23" s="16">
        <v>0.0064</v>
      </c>
      <c r="G23" s="16">
        <v>-0.013</v>
      </c>
      <c r="H23" s="16"/>
      <c r="I23" s="27">
        <v>0.0954</v>
      </c>
      <c r="J23" s="16"/>
      <c r="K23" s="16">
        <v>0.0539</v>
      </c>
      <c r="L23" s="16">
        <v>0.1031</v>
      </c>
      <c r="M23" s="29">
        <v>0.7315</v>
      </c>
    </row>
    <row r="24" ht="15.6" customHeight="1" spans="1:13">
      <c r="A24" s="12" t="s">
        <v>1310</v>
      </c>
      <c r="B24" s="13" t="s">
        <v>61</v>
      </c>
      <c r="C24" s="13" t="s">
        <v>1920</v>
      </c>
      <c r="D24" s="13" t="s">
        <v>1878</v>
      </c>
      <c r="E24" s="16" t="s">
        <v>588</v>
      </c>
      <c r="F24" s="16">
        <v>0.0062</v>
      </c>
      <c r="G24" s="16">
        <v>0.0303</v>
      </c>
      <c r="H24" s="16">
        <v>0.1243</v>
      </c>
      <c r="I24" s="27">
        <v>0.2425</v>
      </c>
      <c r="J24" s="16">
        <v>0.0481</v>
      </c>
      <c r="K24" s="16">
        <v>0.1764</v>
      </c>
      <c r="L24" s="16">
        <v>0.168</v>
      </c>
      <c r="M24" s="29">
        <v>1.3244</v>
      </c>
    </row>
    <row r="25" ht="15.6" customHeight="1" spans="1:13">
      <c r="A25" s="12" t="s">
        <v>474</v>
      </c>
      <c r="B25" s="13" t="s">
        <v>156</v>
      </c>
      <c r="C25" s="13" t="s">
        <v>1921</v>
      </c>
      <c r="D25" s="13" t="s">
        <v>1878</v>
      </c>
      <c r="E25" s="16" t="s">
        <v>751</v>
      </c>
      <c r="F25" s="16">
        <v>0.0041</v>
      </c>
      <c r="G25" s="16">
        <v>0.014</v>
      </c>
      <c r="H25" s="16">
        <v>0.0997</v>
      </c>
      <c r="I25" s="27">
        <v>0.1757</v>
      </c>
      <c r="J25" s="16">
        <v>0.0641</v>
      </c>
      <c r="K25" s="16">
        <v>0.0641</v>
      </c>
      <c r="L25" s="16">
        <v>0.1092</v>
      </c>
      <c r="M25" s="29">
        <v>1.4251</v>
      </c>
    </row>
    <row r="26" ht="15.6" customHeight="1" spans="1:13">
      <c r="A26" s="12" t="s">
        <v>633</v>
      </c>
      <c r="B26" s="13" t="s">
        <v>30</v>
      </c>
      <c r="C26" s="13" t="s">
        <v>1922</v>
      </c>
      <c r="D26" s="13" t="s">
        <v>1878</v>
      </c>
      <c r="E26" s="16" t="s">
        <v>1923</v>
      </c>
      <c r="F26" s="16">
        <v>0.0033</v>
      </c>
      <c r="G26" s="16">
        <v>0.0073</v>
      </c>
      <c r="H26" s="16">
        <v>0.0727</v>
      </c>
      <c r="I26" s="27">
        <v>0.1571</v>
      </c>
      <c r="J26" s="16">
        <v>0.1305</v>
      </c>
      <c r="K26" s="16">
        <v>0.1305</v>
      </c>
      <c r="L26" s="16">
        <v>0.2011</v>
      </c>
      <c r="M26" s="29">
        <v>0.6819</v>
      </c>
    </row>
    <row r="27" ht="15.6" customHeight="1" spans="1:13">
      <c r="A27" s="12" t="s">
        <v>1924</v>
      </c>
      <c r="B27" s="13" t="s">
        <v>30</v>
      </c>
      <c r="C27" s="13" t="s">
        <v>1925</v>
      </c>
      <c r="D27" s="13" t="s">
        <v>1878</v>
      </c>
      <c r="E27" s="16" t="s">
        <v>1926</v>
      </c>
      <c r="F27" s="16">
        <v>0.0013</v>
      </c>
      <c r="G27" s="16">
        <v>-0.017</v>
      </c>
      <c r="H27" s="16">
        <v>0.0961</v>
      </c>
      <c r="I27" s="27">
        <v>0.0575</v>
      </c>
      <c r="J27" s="16">
        <v>0.0708</v>
      </c>
      <c r="K27" s="16">
        <v>0.071</v>
      </c>
      <c r="L27" s="16">
        <v>0.1042</v>
      </c>
      <c r="M27" s="29">
        <v>0.3602</v>
      </c>
    </row>
    <row r="28" ht="15.6" customHeight="1" spans="1:13">
      <c r="A28" s="12" t="s">
        <v>1566</v>
      </c>
      <c r="B28" s="13" t="s">
        <v>54</v>
      </c>
      <c r="C28" s="13" t="s">
        <v>1927</v>
      </c>
      <c r="D28" s="13" t="s">
        <v>1878</v>
      </c>
      <c r="E28" s="16" t="s">
        <v>1928</v>
      </c>
      <c r="F28" s="16">
        <v>0.0012</v>
      </c>
      <c r="G28" s="16">
        <v>0.0217</v>
      </c>
      <c r="H28" s="16">
        <v>0.0043</v>
      </c>
      <c r="I28" s="27">
        <v>0.3387</v>
      </c>
      <c r="J28" s="16">
        <v>0.0248</v>
      </c>
      <c r="K28" s="16">
        <v>0.0469</v>
      </c>
      <c r="L28" s="16">
        <v>0.1474</v>
      </c>
      <c r="M28" s="29">
        <v>2.1623</v>
      </c>
    </row>
    <row r="29" ht="15.6" customHeight="1" spans="1:13">
      <c r="A29" s="12" t="s">
        <v>1929</v>
      </c>
      <c r="B29" s="13" t="s">
        <v>217</v>
      </c>
      <c r="C29" s="13" t="s">
        <v>1930</v>
      </c>
      <c r="D29" s="13" t="s">
        <v>1878</v>
      </c>
      <c r="E29" s="16" t="s">
        <v>1931</v>
      </c>
      <c r="F29" s="16">
        <v>0.0007</v>
      </c>
      <c r="G29" s="16">
        <v>-0.0121</v>
      </c>
      <c r="H29" s="16">
        <v>0.0436</v>
      </c>
      <c r="I29" s="27">
        <v>0.0568</v>
      </c>
      <c r="J29" s="16">
        <v>0.02</v>
      </c>
      <c r="K29" s="16">
        <v>0.02</v>
      </c>
      <c r="L29" s="16">
        <v>0.0357</v>
      </c>
      <c r="M29" s="29">
        <v>1.0301</v>
      </c>
    </row>
    <row r="30" ht="15.6" customHeight="1" spans="1:13">
      <c r="A30" s="12" t="s">
        <v>483</v>
      </c>
      <c r="B30" s="13" t="s">
        <v>217</v>
      </c>
      <c r="C30" s="13" t="s">
        <v>1932</v>
      </c>
      <c r="D30" s="13" t="s">
        <v>1878</v>
      </c>
      <c r="E30" s="16" t="s">
        <v>1933</v>
      </c>
      <c r="F30" s="16">
        <v>0.0001</v>
      </c>
      <c r="G30" s="16">
        <v>-0.0218</v>
      </c>
      <c r="H30" s="16">
        <v>-0.0001</v>
      </c>
      <c r="I30" s="27">
        <v>0.0782</v>
      </c>
      <c r="J30" s="16">
        <v>0.0788</v>
      </c>
      <c r="K30" s="16">
        <v>0.2052</v>
      </c>
      <c r="L30" s="16">
        <v>0.0968</v>
      </c>
      <c r="M30" s="29">
        <v>0.6011</v>
      </c>
    </row>
    <row r="31" ht="15.6" customHeight="1" spans="1:13">
      <c r="A31" s="12" t="s">
        <v>1829</v>
      </c>
      <c r="B31" s="13" t="s">
        <v>217</v>
      </c>
      <c r="C31" s="13" t="s">
        <v>1934</v>
      </c>
      <c r="D31" s="13" t="s">
        <v>1878</v>
      </c>
      <c r="E31" s="16" t="s">
        <v>828</v>
      </c>
      <c r="F31" s="16">
        <v>-0.0003</v>
      </c>
      <c r="G31" s="16">
        <v>-0.0243</v>
      </c>
      <c r="H31" s="16">
        <v>0.0203</v>
      </c>
      <c r="I31" s="27">
        <v>0.0887</v>
      </c>
      <c r="J31" s="16">
        <v>0.0342</v>
      </c>
      <c r="K31" s="16">
        <v>0.0342</v>
      </c>
      <c r="L31" s="16">
        <v>0.0609</v>
      </c>
      <c r="M31" s="29">
        <v>1.1275</v>
      </c>
    </row>
    <row r="32" ht="15.6" customHeight="1" spans="1:13">
      <c r="A32" s="12" t="s">
        <v>1339</v>
      </c>
      <c r="B32" s="13" t="s">
        <v>156</v>
      </c>
      <c r="C32" s="13" t="s">
        <v>1935</v>
      </c>
      <c r="D32" s="13" t="s">
        <v>1878</v>
      </c>
      <c r="E32" s="16" t="s">
        <v>1936</v>
      </c>
      <c r="F32" s="16">
        <v>-0.0003</v>
      </c>
      <c r="G32" s="16">
        <v>-0.0211</v>
      </c>
      <c r="H32" s="16">
        <v>0.0411</v>
      </c>
      <c r="I32" s="27">
        <v>0.0948</v>
      </c>
      <c r="J32" s="16">
        <v>0.0513</v>
      </c>
      <c r="K32" s="16">
        <v>0.0513</v>
      </c>
      <c r="L32" s="16">
        <v>0.0722</v>
      </c>
      <c r="M32" s="29">
        <v>1.0355</v>
      </c>
    </row>
    <row r="33" ht="15.6" customHeight="1" spans="1:13">
      <c r="A33" s="12" t="s">
        <v>1937</v>
      </c>
      <c r="B33" s="13" t="s">
        <v>61</v>
      </c>
      <c r="C33" s="13" t="s">
        <v>1938</v>
      </c>
      <c r="D33" s="13" t="s">
        <v>1878</v>
      </c>
      <c r="E33" s="16" t="s">
        <v>1739</v>
      </c>
      <c r="F33" s="16">
        <v>-0.0006</v>
      </c>
      <c r="G33" s="16">
        <v>0.002</v>
      </c>
      <c r="H33" s="16">
        <v>0.0364</v>
      </c>
      <c r="I33" s="27">
        <v>0.0685</v>
      </c>
      <c r="J33" s="16">
        <v>0.0006</v>
      </c>
      <c r="K33" s="16">
        <v>0.0089</v>
      </c>
      <c r="L33" s="16">
        <v>0.0145</v>
      </c>
      <c r="M33" s="29">
        <v>3.3398</v>
      </c>
    </row>
    <row r="34" ht="15.6" customHeight="1" spans="1:13">
      <c r="A34" s="12" t="s">
        <v>1708</v>
      </c>
      <c r="B34" s="13" t="s">
        <v>30</v>
      </c>
      <c r="C34" s="13" t="s">
        <v>1939</v>
      </c>
      <c r="D34" s="13" t="s">
        <v>1878</v>
      </c>
      <c r="E34" s="16" t="s">
        <v>1940</v>
      </c>
      <c r="F34" s="16">
        <v>-0.002</v>
      </c>
      <c r="G34" s="16">
        <v>-0.008</v>
      </c>
      <c r="H34" s="16">
        <v>-0.008</v>
      </c>
      <c r="I34" s="27">
        <v>-0.0374</v>
      </c>
      <c r="J34" s="16">
        <v>0.011</v>
      </c>
      <c r="K34" s="16">
        <v>0.011</v>
      </c>
      <c r="L34" s="16">
        <v>0.0162</v>
      </c>
      <c r="M34" s="29">
        <v>-3.5437</v>
      </c>
    </row>
    <row r="35" ht="15.6" customHeight="1" spans="1:13">
      <c r="A35" s="12" t="s">
        <v>1941</v>
      </c>
      <c r="B35" s="13" t="s">
        <v>61</v>
      </c>
      <c r="C35" s="13" t="s">
        <v>1942</v>
      </c>
      <c r="D35" s="13" t="s">
        <v>1878</v>
      </c>
      <c r="E35" s="16" t="s">
        <v>1943</v>
      </c>
      <c r="F35" s="16">
        <v>-0.0025</v>
      </c>
      <c r="G35" s="16">
        <v>-0.0086</v>
      </c>
      <c r="H35" s="16">
        <v>0.0051</v>
      </c>
      <c r="I35" s="27">
        <v>0.1446</v>
      </c>
      <c r="J35" s="16">
        <v>0.0402</v>
      </c>
      <c r="K35" s="16">
        <v>0.0603</v>
      </c>
      <c r="L35" s="16">
        <v>0.0419</v>
      </c>
      <c r="M35" s="29">
        <v>2.9705</v>
      </c>
    </row>
    <row r="36" ht="15.6" customHeight="1" spans="1:13">
      <c r="A36" s="12" t="s">
        <v>1056</v>
      </c>
      <c r="B36" s="13" t="s">
        <v>54</v>
      </c>
      <c r="C36" s="13" t="s">
        <v>1944</v>
      </c>
      <c r="D36" s="13" t="s">
        <v>1878</v>
      </c>
      <c r="E36" s="16" t="s">
        <v>1945</v>
      </c>
      <c r="F36" s="16">
        <v>-0.0029</v>
      </c>
      <c r="G36" s="16">
        <v>-0.0145</v>
      </c>
      <c r="H36" s="16">
        <v>0.0011</v>
      </c>
      <c r="I36" s="27">
        <v>0.1215</v>
      </c>
      <c r="J36" s="16">
        <v>0.0366</v>
      </c>
      <c r="K36" s="16">
        <v>0.089</v>
      </c>
      <c r="L36" s="16">
        <v>0.0952</v>
      </c>
      <c r="M36" s="29">
        <v>1.0657</v>
      </c>
    </row>
    <row r="37" ht="15.6" customHeight="1" spans="1:13">
      <c r="A37" s="12" t="s">
        <v>670</v>
      </c>
      <c r="B37" s="13" t="s">
        <v>61</v>
      </c>
      <c r="C37" s="13" t="s">
        <v>1946</v>
      </c>
      <c r="D37" s="13" t="s">
        <v>1878</v>
      </c>
      <c r="E37" s="16" t="s">
        <v>1259</v>
      </c>
      <c r="F37" s="16">
        <v>-0.0032</v>
      </c>
      <c r="G37" s="16">
        <v>0.0007</v>
      </c>
      <c r="H37" s="16">
        <v>0.0294</v>
      </c>
      <c r="I37" s="27">
        <v>0.0622</v>
      </c>
      <c r="J37" s="16">
        <v>0.0171</v>
      </c>
      <c r="K37" s="16">
        <v>0.0216</v>
      </c>
      <c r="L37" s="16">
        <v>0.0356</v>
      </c>
      <c r="M37" s="29">
        <v>1.1878</v>
      </c>
    </row>
    <row r="38" ht="15.6" customHeight="1" spans="1:13">
      <c r="A38" s="12" t="s">
        <v>426</v>
      </c>
      <c r="B38" s="13" t="s">
        <v>156</v>
      </c>
      <c r="C38" s="13" t="s">
        <v>1947</v>
      </c>
      <c r="D38" s="13" t="s">
        <v>1878</v>
      </c>
      <c r="E38" s="16" t="s">
        <v>1948</v>
      </c>
      <c r="F38" s="16">
        <v>-0.0043</v>
      </c>
      <c r="G38" s="16">
        <v>0.0083</v>
      </c>
      <c r="H38" s="16">
        <v>0.0536</v>
      </c>
      <c r="I38" s="27">
        <v>0.1803</v>
      </c>
      <c r="J38" s="16">
        <v>0.0202</v>
      </c>
      <c r="K38" s="16">
        <v>0.046</v>
      </c>
      <c r="L38" s="16">
        <v>0.0778</v>
      </c>
      <c r="M38" s="29">
        <v>2.06</v>
      </c>
    </row>
    <row r="39" ht="15.6" customHeight="1" spans="1:13">
      <c r="A39" s="12" t="s">
        <v>1677</v>
      </c>
      <c r="B39" s="13" t="s">
        <v>54</v>
      </c>
      <c r="C39" s="13" t="s">
        <v>1949</v>
      </c>
      <c r="D39" s="13" t="s">
        <v>1878</v>
      </c>
      <c r="E39" s="16" t="s">
        <v>625</v>
      </c>
      <c r="F39" s="16">
        <v>-0.0048</v>
      </c>
      <c r="G39" s="16">
        <v>0.0012</v>
      </c>
      <c r="H39" s="16">
        <v>0.0631</v>
      </c>
      <c r="I39" s="27">
        <v>0.0796</v>
      </c>
      <c r="J39" s="16">
        <v>0.0048</v>
      </c>
      <c r="K39" s="16">
        <v>0.0277</v>
      </c>
      <c r="L39" s="16">
        <v>0.0325</v>
      </c>
      <c r="M39" s="29">
        <v>1.8315</v>
      </c>
    </row>
    <row r="40" ht="15.6" customHeight="1" spans="1:13">
      <c r="A40" s="12" t="s">
        <v>1950</v>
      </c>
      <c r="B40" s="13" t="s">
        <v>30</v>
      </c>
      <c r="C40" s="13" t="s">
        <v>1951</v>
      </c>
      <c r="D40" s="13" t="s">
        <v>1878</v>
      </c>
      <c r="E40" s="16" t="s">
        <v>596</v>
      </c>
      <c r="F40" s="16">
        <v>-0.0054</v>
      </c>
      <c r="G40" s="16">
        <v>-0.0005</v>
      </c>
      <c r="H40" s="16">
        <v>0.0551</v>
      </c>
      <c r="I40" s="27">
        <v>0.0987</v>
      </c>
      <c r="J40" s="16">
        <v>0.0534</v>
      </c>
      <c r="K40" s="16">
        <v>0.0534</v>
      </c>
      <c r="L40" s="16">
        <v>0.0759</v>
      </c>
      <c r="M40" s="29">
        <v>1.0376</v>
      </c>
    </row>
    <row r="41" ht="15.6" customHeight="1" spans="1:13">
      <c r="A41" s="12" t="s">
        <v>1952</v>
      </c>
      <c r="B41" s="13" t="s">
        <v>30</v>
      </c>
      <c r="C41" s="13" t="s">
        <v>1953</v>
      </c>
      <c r="D41" s="13" t="s">
        <v>1878</v>
      </c>
      <c r="E41" s="16" t="s">
        <v>1954</v>
      </c>
      <c r="F41" s="16">
        <v>-0.0081</v>
      </c>
      <c r="G41" s="16">
        <v>-0.0281</v>
      </c>
      <c r="H41" s="16">
        <v>0.0145</v>
      </c>
      <c r="I41" s="27">
        <v>0.0992</v>
      </c>
      <c r="J41" s="16">
        <v>0.0879</v>
      </c>
      <c r="K41" s="16">
        <v>0.0879</v>
      </c>
      <c r="L41" s="16">
        <v>0.1012</v>
      </c>
      <c r="M41" s="29">
        <v>0.7831</v>
      </c>
    </row>
    <row r="42" ht="15.6" customHeight="1" spans="1:13">
      <c r="A42" s="12" t="s">
        <v>331</v>
      </c>
      <c r="B42" s="13" t="s">
        <v>156</v>
      </c>
      <c r="C42" s="13" t="s">
        <v>1955</v>
      </c>
      <c r="D42" s="13" t="s">
        <v>1878</v>
      </c>
      <c r="E42" s="16" t="s">
        <v>1956</v>
      </c>
      <c r="F42" s="16">
        <v>-0.0094</v>
      </c>
      <c r="G42" s="16">
        <v>0.0413</v>
      </c>
      <c r="H42" s="16">
        <v>0.1734</v>
      </c>
      <c r="I42" s="27">
        <v>0.4257</v>
      </c>
      <c r="J42" s="16">
        <v>0.1</v>
      </c>
      <c r="K42" s="16">
        <v>0.1</v>
      </c>
      <c r="L42" s="16">
        <v>0.205</v>
      </c>
      <c r="M42" s="29">
        <v>1.979</v>
      </c>
    </row>
    <row r="43" ht="15.6" customHeight="1" spans="1:13">
      <c r="A43" s="12" t="s">
        <v>106</v>
      </c>
      <c r="B43" s="13" t="s">
        <v>54</v>
      </c>
      <c r="C43" s="13" t="s">
        <v>1957</v>
      </c>
      <c r="D43" s="13" t="s">
        <v>1878</v>
      </c>
      <c r="E43" s="16" t="s">
        <v>1958</v>
      </c>
      <c r="F43" s="16">
        <v>-0.0213</v>
      </c>
      <c r="G43" s="16">
        <v>0.0165</v>
      </c>
      <c r="H43" s="16">
        <v>0.0879</v>
      </c>
      <c r="I43" s="27">
        <v>0.0769</v>
      </c>
      <c r="J43" s="16">
        <v>0.0473</v>
      </c>
      <c r="K43" s="16">
        <v>0.0559</v>
      </c>
      <c r="L43" s="16">
        <v>0.113</v>
      </c>
      <c r="M43" s="29">
        <v>0.5034</v>
      </c>
    </row>
    <row r="44" ht="15.6" customHeight="1" spans="1:13">
      <c r="A44" s="12" t="s">
        <v>337</v>
      </c>
      <c r="B44" s="13" t="s">
        <v>156</v>
      </c>
      <c r="C44" s="13" t="s">
        <v>1959</v>
      </c>
      <c r="D44" s="13" t="s">
        <v>1878</v>
      </c>
      <c r="E44" s="16" t="s">
        <v>679</v>
      </c>
      <c r="F44" s="16">
        <v>-0.0226</v>
      </c>
      <c r="G44" s="16">
        <v>0.0124</v>
      </c>
      <c r="H44" s="16">
        <v>0.18</v>
      </c>
      <c r="I44" s="27">
        <v>0.208</v>
      </c>
      <c r="J44" s="16">
        <v>0.1001</v>
      </c>
      <c r="K44" s="16">
        <v>0.235</v>
      </c>
      <c r="L44" s="16">
        <v>0.2036</v>
      </c>
      <c r="M44" s="29">
        <v>0.9236</v>
      </c>
    </row>
    <row r="45" ht="15.6" customHeight="1" spans="1:13">
      <c r="A45" s="12" t="s">
        <v>1960</v>
      </c>
      <c r="B45" s="13" t="s">
        <v>30</v>
      </c>
      <c r="C45" s="13" t="s">
        <v>1961</v>
      </c>
      <c r="D45" s="13" t="s">
        <v>1878</v>
      </c>
      <c r="E45" s="16" t="s">
        <v>1539</v>
      </c>
      <c r="F45" s="16">
        <v>-0.0304</v>
      </c>
      <c r="G45" s="16">
        <v>-0.1344</v>
      </c>
      <c r="H45" s="16">
        <v>-0.0025</v>
      </c>
      <c r="I45" s="27">
        <v>-0.0076</v>
      </c>
      <c r="J45" s="16">
        <v>0.306</v>
      </c>
      <c r="K45" s="16">
        <v>0.306</v>
      </c>
      <c r="L45" s="16">
        <v>0.2891</v>
      </c>
      <c r="M45" s="29">
        <v>-0.0956</v>
      </c>
    </row>
    <row r="46" ht="15.6" customHeight="1" spans="1:13">
      <c r="A46" s="12" t="s">
        <v>1962</v>
      </c>
      <c r="B46" s="13" t="s">
        <v>30</v>
      </c>
      <c r="C46" s="13" t="s">
        <v>1963</v>
      </c>
      <c r="D46" s="13" t="s">
        <v>1878</v>
      </c>
      <c r="E46" s="16" t="s">
        <v>1964</v>
      </c>
      <c r="F46" s="16">
        <v>-0.0756</v>
      </c>
      <c r="G46" s="16">
        <v>-0.0557</v>
      </c>
      <c r="H46" s="16">
        <v>-0.194</v>
      </c>
      <c r="I46" s="27">
        <v>0.0379</v>
      </c>
      <c r="J46" s="16">
        <v>0.3941</v>
      </c>
      <c r="K46" s="16">
        <v>0.3941</v>
      </c>
      <c r="L46" s="16">
        <v>0.3653</v>
      </c>
      <c r="M46" s="29">
        <v>0.049</v>
      </c>
    </row>
    <row r="47" ht="15.6" customHeight="1" spans="1:13">
      <c r="A47" s="12"/>
      <c r="B47" s="13"/>
      <c r="C47" s="13"/>
      <c r="D47" s="13"/>
      <c r="E47" s="16"/>
      <c r="F47" s="16"/>
      <c r="G47" s="16"/>
      <c r="H47" s="16"/>
      <c r="I47" s="29"/>
      <c r="J47" s="16"/>
      <c r="K47" s="16"/>
      <c r="L47" s="16"/>
      <c r="M47" s="29"/>
    </row>
    <row r="48" ht="15.6" customHeight="1" spans="1:13">
      <c r="A48" s="12"/>
      <c r="B48" s="13"/>
      <c r="C48" s="13"/>
      <c r="D48" s="13"/>
      <c r="E48" s="16"/>
      <c r="F48" s="16"/>
      <c r="G48" s="16"/>
      <c r="H48" s="16"/>
      <c r="I48" s="29"/>
      <c r="J48" s="16"/>
      <c r="K48" s="16"/>
      <c r="L48" s="16"/>
      <c r="M48" s="29"/>
    </row>
    <row r="49" ht="15.6" customHeight="1" spans="1:13">
      <c r="A49" s="12"/>
      <c r="B49" s="13"/>
      <c r="C49" s="13"/>
      <c r="D49" s="13"/>
      <c r="E49" s="16"/>
      <c r="F49" s="16"/>
      <c r="G49" s="16"/>
      <c r="H49" s="16"/>
      <c r="I49" s="29"/>
      <c r="J49" s="16"/>
      <c r="K49" s="16"/>
      <c r="L49" s="16"/>
      <c r="M49" s="29"/>
    </row>
    <row r="50" ht="15.6" customHeight="1" spans="1:13">
      <c r="A50" s="12"/>
      <c r="B50" s="13"/>
      <c r="C50" s="13"/>
      <c r="D50" s="13"/>
      <c r="E50" s="16"/>
      <c r="F50" s="16"/>
      <c r="G50" s="16"/>
      <c r="H50" s="16"/>
      <c r="I50" s="29"/>
      <c r="J50" s="16"/>
      <c r="K50" s="16"/>
      <c r="L50" s="16"/>
      <c r="M50" s="29"/>
    </row>
    <row r="51" ht="15.6" customHeight="1" spans="1:13">
      <c r="A51" s="12"/>
      <c r="B51" s="13"/>
      <c r="C51" s="13"/>
      <c r="D51" s="13"/>
      <c r="E51" s="16"/>
      <c r="F51" s="16"/>
      <c r="G51" s="16"/>
      <c r="H51" s="16"/>
      <c r="I51" s="29"/>
      <c r="J51" s="16"/>
      <c r="K51" s="16"/>
      <c r="L51" s="16"/>
      <c r="M51" s="29"/>
    </row>
    <row r="52" ht="15.6" customHeight="1" spans="1:13">
      <c r="A52" s="12"/>
      <c r="B52" s="13"/>
      <c r="C52" s="13"/>
      <c r="D52" s="13"/>
      <c r="E52" s="16"/>
      <c r="F52" s="16"/>
      <c r="G52" s="16"/>
      <c r="H52" s="16"/>
      <c r="I52" s="29"/>
      <c r="J52" s="16"/>
      <c r="K52" s="16"/>
      <c r="L52" s="16"/>
      <c r="M52" s="29"/>
    </row>
    <row r="53" ht="15.6" customHeight="1" spans="1:13">
      <c r="A53" s="12"/>
      <c r="B53" s="13"/>
      <c r="C53" s="13"/>
      <c r="D53" s="13"/>
      <c r="E53" s="16"/>
      <c r="F53" s="16"/>
      <c r="G53" s="16"/>
      <c r="H53" s="16"/>
      <c r="I53" s="29"/>
      <c r="J53" s="16"/>
      <c r="K53" s="16"/>
      <c r="L53" s="16"/>
      <c r="M53" s="29"/>
    </row>
    <row r="54" ht="15.6" customHeight="1" spans="1:13">
      <c r="A54" s="12"/>
      <c r="B54" s="13"/>
      <c r="C54" s="13"/>
      <c r="D54" s="13"/>
      <c r="E54" s="16"/>
      <c r="F54" s="16"/>
      <c r="G54" s="16"/>
      <c r="H54" s="16"/>
      <c r="I54" s="29"/>
      <c r="J54" s="16"/>
      <c r="K54" s="16"/>
      <c r="L54" s="16"/>
      <c r="M54" s="29"/>
    </row>
    <row r="55" ht="15.6" customHeight="1" spans="1:13">
      <c r="A55" s="12"/>
      <c r="B55" s="13"/>
      <c r="C55" s="13"/>
      <c r="D55" s="13"/>
      <c r="E55" s="16"/>
      <c r="F55" s="16"/>
      <c r="G55" s="16"/>
      <c r="H55" s="16"/>
      <c r="I55" s="29"/>
      <c r="J55" s="16"/>
      <c r="K55" s="16"/>
      <c r="L55" s="16"/>
      <c r="M55" s="29"/>
    </row>
    <row r="56" ht="15.6" customHeight="1" spans="1:13">
      <c r="A56" s="12"/>
      <c r="B56" s="13"/>
      <c r="C56" s="13"/>
      <c r="D56" s="13"/>
      <c r="E56" s="16"/>
      <c r="F56" s="16"/>
      <c r="G56" s="16"/>
      <c r="H56" s="16"/>
      <c r="I56" s="29"/>
      <c r="J56" s="16"/>
      <c r="K56" s="16"/>
      <c r="L56" s="16"/>
      <c r="M56" s="29"/>
    </row>
    <row r="57" ht="15.6" customHeight="1" spans="1:13">
      <c r="A57" s="12"/>
      <c r="B57" s="13"/>
      <c r="C57" s="13"/>
      <c r="D57" s="13"/>
      <c r="E57" s="16"/>
      <c r="F57" s="16"/>
      <c r="G57" s="16"/>
      <c r="H57" s="16"/>
      <c r="I57" s="29"/>
      <c r="J57" s="16"/>
      <c r="K57" s="16"/>
      <c r="L57" s="16"/>
      <c r="M57" s="29"/>
    </row>
    <row r="58" ht="15.6" customHeight="1" spans="1:13">
      <c r="A58" s="12"/>
      <c r="B58" s="13"/>
      <c r="C58" s="13"/>
      <c r="D58" s="13"/>
      <c r="E58" s="16"/>
      <c r="F58" s="16"/>
      <c r="G58" s="16"/>
      <c r="H58" s="16"/>
      <c r="I58" s="29"/>
      <c r="J58" s="16"/>
      <c r="K58" s="16"/>
      <c r="L58" s="16"/>
      <c r="M58" s="29"/>
    </row>
    <row r="59" ht="15.6" customHeight="1" spans="1:13">
      <c r="A59" s="12"/>
      <c r="B59" s="13"/>
      <c r="C59" s="13"/>
      <c r="D59" s="13"/>
      <c r="E59" s="16"/>
      <c r="F59" s="16"/>
      <c r="G59" s="16"/>
      <c r="H59" s="16"/>
      <c r="I59" s="29"/>
      <c r="J59" s="16"/>
      <c r="K59" s="16"/>
      <c r="L59" s="16"/>
      <c r="M59" s="29"/>
    </row>
    <row r="60" ht="15.6" customHeight="1" spans="1:13">
      <c r="A60" s="12"/>
      <c r="B60" s="13"/>
      <c r="C60" s="13"/>
      <c r="D60" s="13"/>
      <c r="E60" s="16"/>
      <c r="F60" s="16"/>
      <c r="G60" s="16"/>
      <c r="H60" s="16"/>
      <c r="I60" s="29"/>
      <c r="J60" s="16"/>
      <c r="K60" s="16"/>
      <c r="L60" s="16"/>
      <c r="M60" s="29"/>
    </row>
    <row r="61" ht="15.6" customHeight="1" spans="1:13">
      <c r="A61" s="12"/>
      <c r="B61" s="13"/>
      <c r="C61" s="13"/>
      <c r="D61" s="13"/>
      <c r="E61" s="16"/>
      <c r="F61" s="16"/>
      <c r="G61" s="16"/>
      <c r="H61" s="16"/>
      <c r="I61" s="29"/>
      <c r="J61" s="16"/>
      <c r="K61" s="16"/>
      <c r="L61" s="16"/>
      <c r="M61" s="29"/>
    </row>
    <row r="62" ht="15.6" customHeight="1" spans="1:13">
      <c r="A62" s="12"/>
      <c r="B62" s="13"/>
      <c r="C62" s="13"/>
      <c r="D62" s="13"/>
      <c r="E62" s="16"/>
      <c r="F62" s="16"/>
      <c r="G62" s="16"/>
      <c r="H62" s="16"/>
      <c r="I62" s="29"/>
      <c r="J62" s="16"/>
      <c r="K62" s="16"/>
      <c r="L62" s="16"/>
      <c r="M62" s="29"/>
    </row>
    <row r="63" ht="15.6" customHeight="1" spans="1:13">
      <c r="A63" s="12"/>
      <c r="B63" s="13"/>
      <c r="C63" s="13"/>
      <c r="D63" s="13"/>
      <c r="E63" s="16"/>
      <c r="F63" s="16"/>
      <c r="G63" s="16"/>
      <c r="H63" s="16"/>
      <c r="I63" s="29"/>
      <c r="J63" s="16"/>
      <c r="K63" s="16"/>
      <c r="L63" s="16"/>
      <c r="M63" s="29"/>
    </row>
    <row r="64" ht="15.6" customHeight="1" spans="1:13">
      <c r="A64" s="12"/>
      <c r="B64" s="13"/>
      <c r="C64" s="13"/>
      <c r="D64" s="13"/>
      <c r="E64" s="16"/>
      <c r="F64" s="16"/>
      <c r="G64" s="16"/>
      <c r="H64" s="16"/>
      <c r="I64" s="29"/>
      <c r="J64" s="16"/>
      <c r="K64" s="16"/>
      <c r="L64" s="16"/>
      <c r="M64" s="29"/>
    </row>
    <row r="65" ht="15.6" customHeight="1" spans="1:13">
      <c r="A65" s="12"/>
      <c r="B65" s="13"/>
      <c r="C65" s="13"/>
      <c r="D65" s="13"/>
      <c r="E65" s="16"/>
      <c r="F65" s="16"/>
      <c r="G65" s="16"/>
      <c r="H65" s="16"/>
      <c r="I65" s="29"/>
      <c r="J65" s="16"/>
      <c r="K65" s="16"/>
      <c r="L65" s="16"/>
      <c r="M65" s="29"/>
    </row>
    <row r="66" ht="15.6" customHeight="1" spans="1:13">
      <c r="A66" s="12"/>
      <c r="B66" s="13"/>
      <c r="C66" s="13"/>
      <c r="D66" s="13"/>
      <c r="E66" s="16"/>
      <c r="F66" s="16"/>
      <c r="G66" s="16"/>
      <c r="H66" s="16"/>
      <c r="I66" s="29"/>
      <c r="J66" s="16"/>
      <c r="K66" s="16"/>
      <c r="L66" s="16"/>
      <c r="M66" s="29"/>
    </row>
    <row r="67" ht="15.6" customHeight="1" spans="1:13">
      <c r="A67" s="12"/>
      <c r="B67" s="13"/>
      <c r="C67" s="13"/>
      <c r="D67" s="13"/>
      <c r="E67" s="16"/>
      <c r="F67" s="16"/>
      <c r="G67" s="16"/>
      <c r="H67" s="16"/>
      <c r="I67" s="29"/>
      <c r="J67" s="16"/>
      <c r="K67" s="16"/>
      <c r="L67" s="16"/>
      <c r="M67" s="29"/>
    </row>
    <row r="68" ht="15.6" customHeight="1" spans="1:13">
      <c r="A68" s="12"/>
      <c r="B68" s="13"/>
      <c r="C68" s="13"/>
      <c r="D68" s="13"/>
      <c r="E68" s="16"/>
      <c r="F68" s="16"/>
      <c r="G68" s="16"/>
      <c r="H68" s="16"/>
      <c r="I68" s="29"/>
      <c r="J68" s="16"/>
      <c r="K68" s="16"/>
      <c r="L68" s="16"/>
      <c r="M68" s="29"/>
    </row>
    <row r="69" ht="15.6" customHeight="1" spans="1:13">
      <c r="A69" s="12"/>
      <c r="B69" s="13"/>
      <c r="C69" s="13"/>
      <c r="D69" s="13"/>
      <c r="E69" s="16"/>
      <c r="F69" s="16"/>
      <c r="G69" s="16"/>
      <c r="H69" s="16"/>
      <c r="I69" s="29"/>
      <c r="J69" s="16"/>
      <c r="K69" s="16"/>
      <c r="L69" s="16"/>
      <c r="M69" s="29"/>
    </row>
    <row r="70" ht="15.6" customHeight="1" spans="1:13">
      <c r="A70" s="12"/>
      <c r="B70" s="13"/>
      <c r="C70" s="13"/>
      <c r="D70" s="13"/>
      <c r="E70" s="16"/>
      <c r="F70" s="16"/>
      <c r="G70" s="16"/>
      <c r="H70" s="16"/>
      <c r="I70" s="29"/>
      <c r="J70" s="16"/>
      <c r="K70" s="16"/>
      <c r="L70" s="16"/>
      <c r="M70" s="29"/>
    </row>
    <row r="71" ht="15.6" customHeight="1" spans="1:13">
      <c r="A71" s="12"/>
      <c r="B71" s="13"/>
      <c r="C71" s="13"/>
      <c r="D71" s="13"/>
      <c r="E71" s="16"/>
      <c r="F71" s="16"/>
      <c r="G71" s="16"/>
      <c r="H71" s="16"/>
      <c r="I71" s="29"/>
      <c r="J71" s="16"/>
      <c r="K71" s="16"/>
      <c r="L71" s="16"/>
      <c r="M71" s="29"/>
    </row>
    <row r="72" ht="15.6" customHeight="1" spans="1:13">
      <c r="A72" s="12"/>
      <c r="B72" s="13"/>
      <c r="C72" s="13"/>
      <c r="D72" s="13"/>
      <c r="E72" s="16"/>
      <c r="F72" s="16"/>
      <c r="G72" s="16"/>
      <c r="H72" s="16"/>
      <c r="I72" s="29"/>
      <c r="J72" s="16"/>
      <c r="K72" s="16"/>
      <c r="L72" s="16"/>
      <c r="M72" s="29"/>
    </row>
    <row r="73" ht="15.6" customHeight="1" spans="1:13">
      <c r="A73" s="12"/>
      <c r="B73" s="13"/>
      <c r="C73" s="13"/>
      <c r="D73" s="13"/>
      <c r="E73" s="16"/>
      <c r="F73" s="16"/>
      <c r="G73" s="16"/>
      <c r="H73" s="16"/>
      <c r="I73" s="29"/>
      <c r="J73" s="16"/>
      <c r="K73" s="16"/>
      <c r="L73" s="16"/>
      <c r="M73" s="29"/>
    </row>
    <row r="74" ht="15.6" customHeight="1" spans="1:13">
      <c r="A74" s="12"/>
      <c r="B74" s="13"/>
      <c r="C74" s="13"/>
      <c r="D74" s="13"/>
      <c r="E74" s="16"/>
      <c r="F74" s="16"/>
      <c r="G74" s="16"/>
      <c r="H74" s="16"/>
      <c r="I74" s="29"/>
      <c r="J74" s="16"/>
      <c r="K74" s="16"/>
      <c r="L74" s="16"/>
      <c r="M74" s="29"/>
    </row>
    <row r="75" ht="15.6" customHeight="1" spans="1:13">
      <c r="A75" s="12"/>
      <c r="B75" s="13"/>
      <c r="C75" s="13"/>
      <c r="D75" s="13"/>
      <c r="E75" s="16"/>
      <c r="F75" s="16"/>
      <c r="G75" s="16"/>
      <c r="H75" s="16"/>
      <c r="I75" s="29"/>
      <c r="J75" s="16"/>
      <c r="K75" s="16"/>
      <c r="L75" s="16"/>
      <c r="M75" s="29"/>
    </row>
    <row r="76" ht="15.6" customHeight="1" spans="1:13">
      <c r="A76" s="12"/>
      <c r="B76" s="13"/>
      <c r="C76" s="13"/>
      <c r="D76" s="13"/>
      <c r="E76" s="16"/>
      <c r="F76" s="16"/>
      <c r="G76" s="16"/>
      <c r="H76" s="16"/>
      <c r="I76" s="29"/>
      <c r="J76" s="16"/>
      <c r="K76" s="16"/>
      <c r="L76" s="16"/>
      <c r="M76" s="29"/>
    </row>
    <row r="77" ht="15.6" customHeight="1" spans="1:13">
      <c r="A77" s="12"/>
      <c r="B77" s="13"/>
      <c r="C77" s="13"/>
      <c r="D77" s="13"/>
      <c r="E77" s="16"/>
      <c r="F77" s="16"/>
      <c r="G77" s="16"/>
      <c r="H77" s="16"/>
      <c r="I77" s="29"/>
      <c r="J77" s="16"/>
      <c r="K77" s="16"/>
      <c r="L77" s="16"/>
      <c r="M77" s="29"/>
    </row>
    <row r="78" ht="15.6" customHeight="1" spans="1:13">
      <c r="A78" s="12"/>
      <c r="B78" s="13"/>
      <c r="C78" s="13"/>
      <c r="D78" s="13"/>
      <c r="E78" s="16"/>
      <c r="F78" s="16"/>
      <c r="G78" s="16"/>
      <c r="H78" s="16"/>
      <c r="I78" s="29"/>
      <c r="J78" s="16"/>
      <c r="K78" s="16"/>
      <c r="L78" s="16"/>
      <c r="M78" s="29"/>
    </row>
    <row r="79" ht="15.6" customHeight="1" spans="1:13">
      <c r="A79" s="12"/>
      <c r="B79" s="13"/>
      <c r="C79" s="13"/>
      <c r="D79" s="13"/>
      <c r="E79" s="16"/>
      <c r="F79" s="16"/>
      <c r="G79" s="16"/>
      <c r="H79" s="16"/>
      <c r="I79" s="29"/>
      <c r="J79" s="16"/>
      <c r="K79" s="16"/>
      <c r="L79" s="16"/>
      <c r="M79" s="29"/>
    </row>
    <row r="80" ht="15.6" customHeight="1" spans="1:13">
      <c r="A80" s="12"/>
      <c r="B80" s="13"/>
      <c r="C80" s="13"/>
      <c r="D80" s="13"/>
      <c r="E80" s="16"/>
      <c r="F80" s="16"/>
      <c r="G80" s="16"/>
      <c r="H80" s="16"/>
      <c r="I80" s="29"/>
      <c r="J80" s="16"/>
      <c r="K80" s="16"/>
      <c r="L80" s="16"/>
      <c r="M80" s="29"/>
    </row>
    <row r="81" ht="15.6" customHeight="1" spans="1:13">
      <c r="A81" s="12"/>
      <c r="B81" s="13"/>
      <c r="C81" s="13"/>
      <c r="D81" s="13"/>
      <c r="E81" s="16"/>
      <c r="F81" s="16"/>
      <c r="G81" s="16"/>
      <c r="H81" s="16"/>
      <c r="I81" s="29"/>
      <c r="J81" s="16"/>
      <c r="K81" s="16"/>
      <c r="L81" s="16"/>
      <c r="M81" s="29"/>
    </row>
    <row r="82" ht="15.6" customHeight="1" spans="1:13">
      <c r="A82" s="12"/>
      <c r="B82" s="13"/>
      <c r="C82" s="13"/>
      <c r="D82" s="13"/>
      <c r="E82" s="16"/>
      <c r="F82" s="16"/>
      <c r="G82" s="16"/>
      <c r="H82" s="16"/>
      <c r="I82" s="29"/>
      <c r="J82" s="16"/>
      <c r="K82" s="16"/>
      <c r="L82" s="16"/>
      <c r="M82" s="29"/>
    </row>
    <row r="83" ht="15.6" customHeight="1" spans="1:13">
      <c r="A83" s="12"/>
      <c r="B83" s="13"/>
      <c r="C83" s="13"/>
      <c r="D83" s="13"/>
      <c r="E83" s="16"/>
      <c r="F83" s="16"/>
      <c r="G83" s="16"/>
      <c r="H83" s="16"/>
      <c r="I83" s="29"/>
      <c r="J83" s="16"/>
      <c r="K83" s="16"/>
      <c r="L83" s="16"/>
      <c r="M83" s="29"/>
    </row>
    <row r="84" ht="15.6" customHeight="1" spans="1:13">
      <c r="A84" s="12"/>
      <c r="B84" s="13"/>
      <c r="C84" s="13"/>
      <c r="D84" s="13"/>
      <c r="E84" s="16"/>
      <c r="F84" s="16"/>
      <c r="G84" s="16"/>
      <c r="H84" s="16"/>
      <c r="I84" s="29"/>
      <c r="J84" s="16"/>
      <c r="K84" s="16"/>
      <c r="L84" s="16"/>
      <c r="M84" s="29"/>
    </row>
    <row r="85" ht="15.6" customHeight="1" spans="1:13">
      <c r="A85" s="12"/>
      <c r="B85" s="13"/>
      <c r="C85" s="13"/>
      <c r="D85" s="13"/>
      <c r="E85" s="16"/>
      <c r="F85" s="16"/>
      <c r="G85" s="16"/>
      <c r="H85" s="16"/>
      <c r="I85" s="29"/>
      <c r="J85" s="16"/>
      <c r="K85" s="16"/>
      <c r="L85" s="16"/>
      <c r="M85" s="29"/>
    </row>
    <row r="86" ht="15.6" customHeight="1" spans="1:13">
      <c r="A86" s="12"/>
      <c r="B86" s="13"/>
      <c r="C86" s="13"/>
      <c r="D86" s="13"/>
      <c r="E86" s="16"/>
      <c r="F86" s="16"/>
      <c r="G86" s="16"/>
      <c r="H86" s="16"/>
      <c r="I86" s="29"/>
      <c r="J86" s="16"/>
      <c r="K86" s="16"/>
      <c r="L86" s="16"/>
      <c r="M86" s="29"/>
    </row>
    <row r="87" ht="15.6" customHeight="1" spans="1:13">
      <c r="A87" s="12"/>
      <c r="B87" s="13"/>
      <c r="C87" s="13"/>
      <c r="D87" s="13"/>
      <c r="E87" s="16"/>
      <c r="F87" s="16"/>
      <c r="G87" s="16"/>
      <c r="H87" s="16"/>
      <c r="I87" s="29"/>
      <c r="J87" s="16"/>
      <c r="K87" s="16"/>
      <c r="L87" s="16"/>
      <c r="M87" s="29"/>
    </row>
    <row r="88" ht="15.6" customHeight="1" spans="1:13">
      <c r="A88" s="12"/>
      <c r="B88" s="13"/>
      <c r="C88" s="13"/>
      <c r="D88" s="13"/>
      <c r="E88" s="16"/>
      <c r="F88" s="16"/>
      <c r="G88" s="16"/>
      <c r="H88" s="16"/>
      <c r="I88" s="29"/>
      <c r="J88" s="16"/>
      <c r="K88" s="16"/>
      <c r="L88" s="16"/>
      <c r="M88" s="29"/>
    </row>
    <row r="89" ht="15.6" customHeight="1" spans="1:13">
      <c r="A89" s="12"/>
      <c r="B89" s="13"/>
      <c r="C89" s="13"/>
      <c r="D89" s="13"/>
      <c r="E89" s="16"/>
      <c r="F89" s="16"/>
      <c r="G89" s="16"/>
      <c r="H89" s="16"/>
      <c r="I89" s="29"/>
      <c r="J89" s="16"/>
      <c r="K89" s="16"/>
      <c r="L89" s="16"/>
      <c r="M89" s="29"/>
    </row>
    <row r="90" ht="15.6" customHeight="1" spans="1:13">
      <c r="A90" s="12"/>
      <c r="B90" s="13"/>
      <c r="C90" s="13"/>
      <c r="D90" s="13"/>
      <c r="E90" s="16"/>
      <c r="F90" s="16"/>
      <c r="G90" s="16"/>
      <c r="H90" s="16"/>
      <c r="I90" s="29"/>
      <c r="J90" s="16"/>
      <c r="K90" s="16"/>
      <c r="L90" s="16"/>
      <c r="M90" s="29"/>
    </row>
    <row r="91" ht="15.6" customHeight="1" spans="1:13">
      <c r="A91" s="12"/>
      <c r="B91" s="13"/>
      <c r="C91" s="13"/>
      <c r="D91" s="13"/>
      <c r="E91" s="16"/>
      <c r="F91" s="16"/>
      <c r="G91" s="16"/>
      <c r="H91" s="16"/>
      <c r="I91" s="29"/>
      <c r="J91" s="16"/>
      <c r="K91" s="16"/>
      <c r="L91" s="16"/>
      <c r="M91" s="29"/>
    </row>
    <row r="92" ht="15.6" customHeight="1" spans="1:13">
      <c r="A92" s="12"/>
      <c r="B92" s="13"/>
      <c r="C92" s="13"/>
      <c r="D92" s="13"/>
      <c r="E92" s="16"/>
      <c r="F92" s="16"/>
      <c r="G92" s="16"/>
      <c r="H92" s="16"/>
      <c r="I92" s="29"/>
      <c r="J92" s="16"/>
      <c r="K92" s="16"/>
      <c r="L92" s="16"/>
      <c r="M92" s="29"/>
    </row>
    <row r="93" ht="15.6" customHeight="1" spans="1:13">
      <c r="A93" s="12"/>
      <c r="B93" s="13"/>
      <c r="C93" s="13"/>
      <c r="D93" s="13"/>
      <c r="E93" s="16"/>
      <c r="F93" s="16"/>
      <c r="G93" s="16"/>
      <c r="H93" s="16"/>
      <c r="I93" s="29"/>
      <c r="J93" s="16"/>
      <c r="K93" s="16"/>
      <c r="L93" s="16"/>
      <c r="M93" s="29"/>
    </row>
    <row r="94" ht="15.6" customHeight="1" spans="1:13">
      <c r="A94" s="12"/>
      <c r="B94" s="13"/>
      <c r="C94" s="13"/>
      <c r="D94" s="13"/>
      <c r="E94" s="16"/>
      <c r="F94" s="16"/>
      <c r="G94" s="16"/>
      <c r="H94" s="16"/>
      <c r="I94" s="29"/>
      <c r="J94" s="16"/>
      <c r="K94" s="16"/>
      <c r="L94" s="16"/>
      <c r="M94" s="29"/>
    </row>
    <row r="95" ht="15.6" customHeight="1" spans="1:13">
      <c r="A95" s="12"/>
      <c r="B95" s="13"/>
      <c r="C95" s="13"/>
      <c r="D95" s="13"/>
      <c r="E95" s="16"/>
      <c r="F95" s="16"/>
      <c r="G95" s="16"/>
      <c r="H95" s="16"/>
      <c r="I95" s="29"/>
      <c r="J95" s="16"/>
      <c r="K95" s="16"/>
      <c r="L95" s="16"/>
      <c r="M95" s="29"/>
    </row>
    <row r="96" ht="15.6" customHeight="1" spans="1:13">
      <c r="A96" s="12"/>
      <c r="B96" s="13"/>
      <c r="C96" s="13"/>
      <c r="D96" s="13"/>
      <c r="E96" s="16"/>
      <c r="F96" s="16"/>
      <c r="G96" s="16"/>
      <c r="H96" s="16"/>
      <c r="I96" s="29"/>
      <c r="J96" s="16"/>
      <c r="K96" s="16"/>
      <c r="L96" s="16"/>
      <c r="M96" s="29"/>
    </row>
    <row r="97" ht="15.6" customHeight="1" spans="1:13">
      <c r="A97" s="12"/>
      <c r="B97" s="13"/>
      <c r="C97" s="13"/>
      <c r="D97" s="13"/>
      <c r="E97" s="16"/>
      <c r="F97" s="16"/>
      <c r="G97" s="16"/>
      <c r="H97" s="16"/>
      <c r="I97" s="29"/>
      <c r="J97" s="16"/>
      <c r="K97" s="16"/>
      <c r="L97" s="16"/>
      <c r="M97" s="29"/>
    </row>
    <row r="98" ht="15.6" customHeight="1" spans="1:13">
      <c r="A98" s="12"/>
      <c r="B98" s="13"/>
      <c r="C98" s="13"/>
      <c r="D98" s="13"/>
      <c r="E98" s="16"/>
      <c r="F98" s="16"/>
      <c r="G98" s="16"/>
      <c r="H98" s="16"/>
      <c r="I98" s="29"/>
      <c r="J98" s="16"/>
      <c r="K98" s="16"/>
      <c r="L98" s="16"/>
      <c r="M98" s="29"/>
    </row>
    <row r="99" ht="15.6" customHeight="1" spans="1:13">
      <c r="A99" s="12"/>
      <c r="B99" s="13"/>
      <c r="C99" s="13"/>
      <c r="D99" s="13"/>
      <c r="E99" s="16"/>
      <c r="F99" s="16"/>
      <c r="G99" s="16"/>
      <c r="H99" s="16"/>
      <c r="I99" s="29"/>
      <c r="J99" s="16"/>
      <c r="K99" s="16"/>
      <c r="L99" s="16"/>
      <c r="M99" s="29"/>
    </row>
    <row r="100" ht="15.6" customHeight="1" spans="1:13">
      <c r="A100" s="12"/>
      <c r="B100" s="13"/>
      <c r="C100" s="13"/>
      <c r="D100" s="13"/>
      <c r="E100" s="16"/>
      <c r="F100" s="16"/>
      <c r="G100" s="16"/>
      <c r="H100" s="16"/>
      <c r="I100" s="29"/>
      <c r="J100" s="16"/>
      <c r="K100" s="16"/>
      <c r="L100" s="16"/>
      <c r="M100" s="29"/>
    </row>
  </sheetData>
  <mergeCells count="4">
    <mergeCell ref="A1:B1"/>
    <mergeCell ref="C1:E1"/>
    <mergeCell ref="F1:I1"/>
    <mergeCell ref="J1:K1"/>
  </mergeCells>
  <conditionalFormatting sqref="A3:E100 J3:M100">
    <cfRule type="expression" dxfId="0" priority="2">
      <formula>MOD(ROW(),2)=0</formula>
    </cfRule>
  </conditionalFormatting>
  <conditionalFormatting sqref="F3:I100">
    <cfRule type="expression" dxfId="0" priority="1">
      <formula>MOD(ROW(),2)=0</formula>
    </cfRule>
  </conditionalFormatting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W100"/>
  <sheetViews>
    <sheetView workbookViewId="0">
      <selection activeCell="R10" sqref="R10"/>
    </sheetView>
  </sheetViews>
  <sheetFormatPr defaultColWidth="8.88888888888889" defaultRowHeight="14.4"/>
  <sheetData>
    <row r="1" ht="31.2" customHeight="1" spans="1:23">
      <c r="A1" s="1" t="s">
        <v>0</v>
      </c>
      <c r="B1" s="2"/>
      <c r="C1" s="3" t="s">
        <v>1</v>
      </c>
      <c r="D1" s="4"/>
      <c r="E1" s="5"/>
      <c r="F1" s="6" t="s">
        <v>2</v>
      </c>
      <c r="G1" s="7"/>
      <c r="H1" s="7"/>
      <c r="I1" s="2"/>
      <c r="J1" s="17" t="s">
        <v>3</v>
      </c>
      <c r="K1" s="2"/>
      <c r="L1" s="18" t="s">
        <v>4</v>
      </c>
      <c r="M1" s="19" t="s">
        <v>5</v>
      </c>
      <c r="N1" s="20" t="s">
        <v>6</v>
      </c>
      <c r="O1" s="21" t="s">
        <v>7</v>
      </c>
      <c r="P1" s="21" t="s">
        <v>8</v>
      </c>
      <c r="Q1" s="21" t="s">
        <v>9</v>
      </c>
      <c r="R1" s="30" t="s">
        <v>10</v>
      </c>
      <c r="S1" s="31" t="s">
        <v>11</v>
      </c>
      <c r="T1" s="32" t="s">
        <v>12</v>
      </c>
      <c r="U1" s="32" t="s">
        <v>13</v>
      </c>
      <c r="V1" s="32" t="s">
        <v>14</v>
      </c>
      <c r="W1" s="33" t="s">
        <v>15</v>
      </c>
    </row>
    <row r="2" ht="47.55" customHeight="1" spans="1:23">
      <c r="A2" s="8" t="s">
        <v>16</v>
      </c>
      <c r="B2" s="9" t="s">
        <v>17</v>
      </c>
      <c r="C2" s="10" t="s">
        <v>18</v>
      </c>
      <c r="D2" s="10" t="s">
        <v>19</v>
      </c>
      <c r="E2" s="10" t="s">
        <v>20</v>
      </c>
      <c r="F2" s="11" t="s">
        <v>21</v>
      </c>
      <c r="G2" s="11" t="s">
        <v>22</v>
      </c>
      <c r="H2" s="11" t="s">
        <v>23</v>
      </c>
      <c r="I2" s="11" t="s">
        <v>24</v>
      </c>
      <c r="J2" s="22" t="s">
        <v>25</v>
      </c>
      <c r="K2" s="22" t="s">
        <v>26</v>
      </c>
      <c r="L2" s="23" t="s">
        <v>27</v>
      </c>
      <c r="M2" s="24" t="s">
        <v>28</v>
      </c>
      <c r="N2" s="25">
        <f>QUARTILE(F3:F200,4)</f>
        <v>0.0065</v>
      </c>
      <c r="O2" s="26">
        <f>QUARTILE(F3:F200,3)</f>
        <v>0.001025</v>
      </c>
      <c r="P2" s="26">
        <f>QUARTILE(F3:F200,2)</f>
        <v>-0.00105</v>
      </c>
      <c r="Q2" s="26">
        <f>QUARTILE(F3:F200,1)</f>
        <v>-0.007325</v>
      </c>
      <c r="R2" s="34">
        <f>QUARTILE(F3:F200,0)</f>
        <v>-0.0152</v>
      </c>
      <c r="S2" s="25">
        <f>QUARTILE(H3:H200,4)</f>
        <v>0.5926</v>
      </c>
      <c r="T2" s="26">
        <f>QUARTILE(H3:H200,3)</f>
        <v>0.377375</v>
      </c>
      <c r="U2" s="26">
        <f>QUARTILE(H3:H200,2)</f>
        <v>0.17905</v>
      </c>
      <c r="V2" s="26">
        <f>QUARTILE(H3:H200,1)</f>
        <v>0.163275</v>
      </c>
      <c r="W2" s="34">
        <f>QUARTILE(H3:H200,0)</f>
        <v>0.0202</v>
      </c>
    </row>
    <row r="3" ht="43.2" customHeight="1" spans="1:13">
      <c r="A3" s="12" t="s">
        <v>683</v>
      </c>
      <c r="B3" s="13" t="s">
        <v>61</v>
      </c>
      <c r="C3" s="14" t="s">
        <v>1965</v>
      </c>
      <c r="D3" s="14" t="s">
        <v>1966</v>
      </c>
      <c r="E3" s="15" t="s">
        <v>1967</v>
      </c>
      <c r="F3" s="16">
        <v>0.0065</v>
      </c>
      <c r="G3" s="16">
        <v>0.0246</v>
      </c>
      <c r="H3" s="16">
        <v>0.1611</v>
      </c>
      <c r="I3" s="27">
        <v>0.4142</v>
      </c>
      <c r="J3" s="16">
        <v>0.0548</v>
      </c>
      <c r="K3" s="16">
        <v>0.0548</v>
      </c>
      <c r="L3" s="16">
        <v>0.1574</v>
      </c>
      <c r="M3" s="28">
        <v>2.5047</v>
      </c>
    </row>
    <row r="4" ht="39" customHeight="1" spans="1:13">
      <c r="A4" s="12" t="s">
        <v>1968</v>
      </c>
      <c r="B4" s="13" t="s">
        <v>38</v>
      </c>
      <c r="C4" s="13" t="s">
        <v>1969</v>
      </c>
      <c r="D4" s="13" t="s">
        <v>1966</v>
      </c>
      <c r="E4" s="16" t="s">
        <v>1970</v>
      </c>
      <c r="F4" s="16">
        <v>0.0017</v>
      </c>
      <c r="G4" s="16">
        <v>0.0413</v>
      </c>
      <c r="H4" s="16">
        <v>0.1883</v>
      </c>
      <c r="I4" s="27">
        <v>0.1865</v>
      </c>
      <c r="J4" s="16">
        <v>0.0091</v>
      </c>
      <c r="K4" s="16">
        <v>0.0587</v>
      </c>
      <c r="L4" s="16">
        <v>0.0946</v>
      </c>
      <c r="M4" s="28">
        <v>1.7606</v>
      </c>
    </row>
    <row r="5" ht="15.6" customHeight="1" spans="1:13">
      <c r="A5" s="12" t="s">
        <v>1971</v>
      </c>
      <c r="B5" s="13" t="s">
        <v>61</v>
      </c>
      <c r="C5" s="13" t="s">
        <v>1972</v>
      </c>
      <c r="D5" s="13" t="s">
        <v>1966</v>
      </c>
      <c r="E5" s="16" t="s">
        <v>1973</v>
      </c>
      <c r="F5" s="16">
        <v>-0.001</v>
      </c>
      <c r="G5" s="16">
        <v>0.1393</v>
      </c>
      <c r="H5" s="16">
        <v>0.4404</v>
      </c>
      <c r="I5" s="27">
        <v>0.6632</v>
      </c>
      <c r="J5" s="16">
        <v>0.0857</v>
      </c>
      <c r="K5" s="16">
        <v>0.0857</v>
      </c>
      <c r="L5" s="16">
        <v>0.2126</v>
      </c>
      <c r="M5" s="29">
        <v>3.0252</v>
      </c>
    </row>
    <row r="6" ht="15.6" customHeight="1" spans="1:13">
      <c r="A6" s="12" t="s">
        <v>1070</v>
      </c>
      <c r="B6" s="13" t="s">
        <v>61</v>
      </c>
      <c r="C6" s="13" t="s">
        <v>1974</v>
      </c>
      <c r="D6" s="13" t="s">
        <v>1966</v>
      </c>
      <c r="E6" s="16" t="s">
        <v>1975</v>
      </c>
      <c r="F6" s="16">
        <v>-0.0011</v>
      </c>
      <c r="G6" s="16">
        <v>-0.0037</v>
      </c>
      <c r="H6" s="16">
        <v>0.0202</v>
      </c>
      <c r="I6" s="27">
        <v>0.4253</v>
      </c>
      <c r="J6" s="16">
        <v>0.0295</v>
      </c>
      <c r="K6" s="16">
        <v>0.1222</v>
      </c>
      <c r="L6" s="16">
        <v>0.1447</v>
      </c>
      <c r="M6" s="29">
        <v>2.8005</v>
      </c>
    </row>
    <row r="7" ht="15.6" customHeight="1" spans="1:13">
      <c r="A7" s="12" t="s">
        <v>1976</v>
      </c>
      <c r="B7" s="13" t="s">
        <v>54</v>
      </c>
      <c r="C7" s="13" t="s">
        <v>1977</v>
      </c>
      <c r="D7" s="13" t="s">
        <v>1966</v>
      </c>
      <c r="E7" s="16" t="s">
        <v>1978</v>
      </c>
      <c r="F7" s="16">
        <v>-0.0094</v>
      </c>
      <c r="G7" s="16">
        <v>0.1422</v>
      </c>
      <c r="H7" s="16">
        <v>0.1698</v>
      </c>
      <c r="I7" s="27">
        <v>0.149</v>
      </c>
      <c r="J7" s="16">
        <v>0.0711</v>
      </c>
      <c r="K7" s="16">
        <v>0.0954</v>
      </c>
      <c r="L7" s="16">
        <v>0.1652</v>
      </c>
      <c r="M7" s="29">
        <v>0.7808</v>
      </c>
    </row>
    <row r="8" ht="15.6" customHeight="1" spans="1:13">
      <c r="A8" s="12" t="s">
        <v>1971</v>
      </c>
      <c r="B8" s="13" t="s">
        <v>61</v>
      </c>
      <c r="C8" s="13" t="s">
        <v>1979</v>
      </c>
      <c r="D8" s="13" t="s">
        <v>1966</v>
      </c>
      <c r="E8" s="16" t="s">
        <v>1980</v>
      </c>
      <c r="F8" s="16">
        <v>-0.0152</v>
      </c>
      <c r="G8" s="16">
        <v>0.1649</v>
      </c>
      <c r="H8" s="16">
        <v>0.5926</v>
      </c>
      <c r="I8" s="27">
        <v>1.21</v>
      </c>
      <c r="J8" s="16">
        <v>0.0796</v>
      </c>
      <c r="K8" s="16">
        <v>0.0796</v>
      </c>
      <c r="L8" s="16">
        <v>0.2335</v>
      </c>
      <c r="M8" s="29">
        <v>5.0957</v>
      </c>
    </row>
    <row r="9" ht="15.6" customHeight="1" spans="1:13">
      <c r="A9" s="12"/>
      <c r="B9" s="13"/>
      <c r="C9" s="13"/>
      <c r="D9" s="13"/>
      <c r="E9" s="16"/>
      <c r="F9" s="16"/>
      <c r="G9" s="16"/>
      <c r="H9" s="16"/>
      <c r="I9" s="29"/>
      <c r="J9" s="16"/>
      <c r="K9" s="16"/>
      <c r="L9" s="16"/>
      <c r="M9" s="29"/>
    </row>
    <row r="10" ht="15.6" customHeight="1" spans="1:13">
      <c r="A10" s="12"/>
      <c r="B10" s="13"/>
      <c r="C10" s="13"/>
      <c r="D10" s="13"/>
      <c r="E10" s="16"/>
      <c r="F10" s="16"/>
      <c r="G10" s="16"/>
      <c r="H10" s="16"/>
      <c r="I10" s="29"/>
      <c r="J10" s="16"/>
      <c r="K10" s="16"/>
      <c r="L10" s="16"/>
      <c r="M10" s="29"/>
    </row>
    <row r="11" ht="15.6" customHeight="1" spans="1:13">
      <c r="A11" s="12"/>
      <c r="B11" s="13"/>
      <c r="C11" s="13"/>
      <c r="D11" s="13"/>
      <c r="E11" s="16"/>
      <c r="F11" s="16"/>
      <c r="G11" s="16"/>
      <c r="H11" s="16"/>
      <c r="I11" s="29"/>
      <c r="J11" s="16"/>
      <c r="K11" s="16"/>
      <c r="L11" s="16"/>
      <c r="M11" s="29"/>
    </row>
    <row r="12" ht="15.6" customHeight="1" spans="1:13">
      <c r="A12" s="12"/>
      <c r="B12" s="13"/>
      <c r="C12" s="13"/>
      <c r="D12" s="13"/>
      <c r="E12" s="16"/>
      <c r="F12" s="16"/>
      <c r="G12" s="16"/>
      <c r="H12" s="16"/>
      <c r="I12" s="29"/>
      <c r="J12" s="16"/>
      <c r="K12" s="16"/>
      <c r="L12" s="16"/>
      <c r="M12" s="29"/>
    </row>
    <row r="13" ht="15.6" customHeight="1" spans="1:13">
      <c r="A13" s="12"/>
      <c r="B13" s="13"/>
      <c r="C13" s="13"/>
      <c r="D13" s="13"/>
      <c r="E13" s="16"/>
      <c r="F13" s="16"/>
      <c r="G13" s="16"/>
      <c r="H13" s="16"/>
      <c r="I13" s="29"/>
      <c r="J13" s="16"/>
      <c r="K13" s="16"/>
      <c r="L13" s="16"/>
      <c r="M13" s="29"/>
    </row>
    <row r="14" ht="15.6" customHeight="1" spans="1:13">
      <c r="A14" s="12"/>
      <c r="B14" s="13"/>
      <c r="C14" s="13"/>
      <c r="D14" s="13"/>
      <c r="E14" s="16"/>
      <c r="F14" s="16"/>
      <c r="G14" s="16"/>
      <c r="H14" s="16"/>
      <c r="I14" s="29"/>
      <c r="J14" s="16"/>
      <c r="K14" s="16"/>
      <c r="L14" s="16"/>
      <c r="M14" s="29"/>
    </row>
    <row r="15" ht="15.6" customHeight="1" spans="1:13">
      <c r="A15" s="12"/>
      <c r="B15" s="13"/>
      <c r="C15" s="13"/>
      <c r="D15" s="13"/>
      <c r="E15" s="16"/>
      <c r="F15" s="16"/>
      <c r="G15" s="16"/>
      <c r="H15" s="16"/>
      <c r="I15" s="29"/>
      <c r="J15" s="16"/>
      <c r="K15" s="16"/>
      <c r="L15" s="16"/>
      <c r="M15" s="29"/>
    </row>
    <row r="16" ht="15.6" customHeight="1" spans="1:13">
      <c r="A16" s="12"/>
      <c r="B16" s="13"/>
      <c r="C16" s="13"/>
      <c r="D16" s="13"/>
      <c r="E16" s="16"/>
      <c r="F16" s="16"/>
      <c r="G16" s="16"/>
      <c r="H16" s="16"/>
      <c r="I16" s="29"/>
      <c r="J16" s="16"/>
      <c r="K16" s="16"/>
      <c r="L16" s="16"/>
      <c r="M16" s="29"/>
    </row>
    <row r="17" ht="15.6" customHeight="1" spans="1:13">
      <c r="A17" s="12"/>
      <c r="B17" s="13"/>
      <c r="C17" s="13"/>
      <c r="D17" s="13"/>
      <c r="E17" s="16"/>
      <c r="F17" s="16"/>
      <c r="G17" s="16"/>
      <c r="H17" s="16"/>
      <c r="I17" s="29"/>
      <c r="J17" s="16"/>
      <c r="K17" s="16"/>
      <c r="L17" s="16"/>
      <c r="M17" s="29"/>
    </row>
    <row r="18" ht="15.6" customHeight="1" spans="1:13">
      <c r="A18" s="12"/>
      <c r="B18" s="13"/>
      <c r="C18" s="13"/>
      <c r="D18" s="13"/>
      <c r="E18" s="16"/>
      <c r="F18" s="16"/>
      <c r="G18" s="16"/>
      <c r="H18" s="16"/>
      <c r="I18" s="29"/>
      <c r="J18" s="16"/>
      <c r="K18" s="16"/>
      <c r="L18" s="16"/>
      <c r="M18" s="29"/>
    </row>
    <row r="19" ht="15.6" customHeight="1" spans="1:13">
      <c r="A19" s="12"/>
      <c r="B19" s="13"/>
      <c r="C19" s="13"/>
      <c r="D19" s="13"/>
      <c r="E19" s="16"/>
      <c r="F19" s="16"/>
      <c r="G19" s="16"/>
      <c r="H19" s="16"/>
      <c r="I19" s="29"/>
      <c r="J19" s="16"/>
      <c r="K19" s="16"/>
      <c r="L19" s="16"/>
      <c r="M19" s="29"/>
    </row>
    <row r="20" ht="15.6" customHeight="1" spans="1:13">
      <c r="A20" s="12"/>
      <c r="B20" s="13"/>
      <c r="C20" s="13"/>
      <c r="D20" s="13"/>
      <c r="E20" s="16"/>
      <c r="F20" s="16"/>
      <c r="G20" s="16"/>
      <c r="H20" s="16"/>
      <c r="I20" s="29"/>
      <c r="J20" s="16"/>
      <c r="K20" s="16"/>
      <c r="L20" s="16"/>
      <c r="M20" s="29"/>
    </row>
    <row r="21" ht="15.6" customHeight="1" spans="1:13">
      <c r="A21" s="12"/>
      <c r="B21" s="13"/>
      <c r="C21" s="13"/>
      <c r="D21" s="13"/>
      <c r="E21" s="16"/>
      <c r="F21" s="16"/>
      <c r="G21" s="16"/>
      <c r="H21" s="16"/>
      <c r="I21" s="29"/>
      <c r="J21" s="16"/>
      <c r="K21" s="16"/>
      <c r="L21" s="16"/>
      <c r="M21" s="29"/>
    </row>
    <row r="22" ht="15.6" customHeight="1" spans="1:13">
      <c r="A22" s="12"/>
      <c r="B22" s="13"/>
      <c r="C22" s="13"/>
      <c r="D22" s="13"/>
      <c r="E22" s="16"/>
      <c r="F22" s="16"/>
      <c r="G22" s="16"/>
      <c r="H22" s="16"/>
      <c r="I22" s="29"/>
      <c r="J22" s="16"/>
      <c r="K22" s="16"/>
      <c r="L22" s="16"/>
      <c r="M22" s="29"/>
    </row>
    <row r="23" ht="15.6" customHeight="1" spans="1:13">
      <c r="A23" s="12"/>
      <c r="B23" s="13"/>
      <c r="C23" s="13"/>
      <c r="D23" s="13"/>
      <c r="E23" s="16"/>
      <c r="F23" s="16"/>
      <c r="G23" s="16"/>
      <c r="H23" s="16"/>
      <c r="I23" s="29"/>
      <c r="J23" s="16"/>
      <c r="K23" s="16"/>
      <c r="L23" s="16"/>
      <c r="M23" s="29"/>
    </row>
    <row r="24" ht="15.6" customHeight="1" spans="1:13">
      <c r="A24" s="12"/>
      <c r="B24" s="13"/>
      <c r="C24" s="13"/>
      <c r="D24" s="13"/>
      <c r="E24" s="16"/>
      <c r="F24" s="16"/>
      <c r="G24" s="16"/>
      <c r="H24" s="16"/>
      <c r="I24" s="29"/>
      <c r="J24" s="16"/>
      <c r="K24" s="16"/>
      <c r="L24" s="16"/>
      <c r="M24" s="29"/>
    </row>
    <row r="25" ht="15.6" customHeight="1" spans="1:13">
      <c r="A25" s="12"/>
      <c r="B25" s="13"/>
      <c r="C25" s="13"/>
      <c r="D25" s="13"/>
      <c r="E25" s="16"/>
      <c r="F25" s="16"/>
      <c r="G25" s="16"/>
      <c r="H25" s="16"/>
      <c r="I25" s="29"/>
      <c r="J25" s="16"/>
      <c r="K25" s="16"/>
      <c r="L25" s="16"/>
      <c r="M25" s="29"/>
    </row>
    <row r="26" ht="15.6" customHeight="1" spans="1:13">
      <c r="A26" s="12"/>
      <c r="B26" s="13"/>
      <c r="C26" s="13"/>
      <c r="D26" s="13"/>
      <c r="E26" s="16"/>
      <c r="F26" s="16"/>
      <c r="G26" s="16"/>
      <c r="H26" s="16"/>
      <c r="I26" s="29"/>
      <c r="J26" s="16"/>
      <c r="K26" s="16"/>
      <c r="L26" s="16"/>
      <c r="M26" s="29"/>
    </row>
    <row r="27" ht="15.6" customHeight="1" spans="1:13">
      <c r="A27" s="12"/>
      <c r="B27" s="13"/>
      <c r="C27" s="13"/>
      <c r="D27" s="13"/>
      <c r="E27" s="16"/>
      <c r="F27" s="16"/>
      <c r="G27" s="16"/>
      <c r="H27" s="16"/>
      <c r="I27" s="29"/>
      <c r="J27" s="16"/>
      <c r="K27" s="16"/>
      <c r="L27" s="16"/>
      <c r="M27" s="29"/>
    </row>
    <row r="28" ht="15.6" customHeight="1" spans="1:13">
      <c r="A28" s="12"/>
      <c r="B28" s="13"/>
      <c r="C28" s="13"/>
      <c r="D28" s="13"/>
      <c r="E28" s="16"/>
      <c r="F28" s="16"/>
      <c r="G28" s="16"/>
      <c r="H28" s="16"/>
      <c r="I28" s="29"/>
      <c r="J28" s="16"/>
      <c r="K28" s="16"/>
      <c r="L28" s="16"/>
      <c r="M28" s="29"/>
    </row>
    <row r="29" ht="15.6" customHeight="1" spans="1:13">
      <c r="A29" s="12"/>
      <c r="B29" s="13"/>
      <c r="C29" s="13"/>
      <c r="D29" s="13"/>
      <c r="E29" s="16"/>
      <c r="F29" s="16"/>
      <c r="G29" s="16"/>
      <c r="H29" s="16"/>
      <c r="I29" s="29"/>
      <c r="J29" s="16"/>
      <c r="K29" s="16"/>
      <c r="L29" s="16"/>
      <c r="M29" s="29"/>
    </row>
    <row r="30" ht="15.6" customHeight="1" spans="1:13">
      <c r="A30" s="12"/>
      <c r="B30" s="13"/>
      <c r="C30" s="13"/>
      <c r="D30" s="13"/>
      <c r="E30" s="16"/>
      <c r="F30" s="16"/>
      <c r="G30" s="16"/>
      <c r="H30" s="16"/>
      <c r="I30" s="29"/>
      <c r="J30" s="16"/>
      <c r="K30" s="16"/>
      <c r="L30" s="16"/>
      <c r="M30" s="29"/>
    </row>
    <row r="31" ht="15.6" customHeight="1" spans="1:13">
      <c r="A31" s="12"/>
      <c r="B31" s="13"/>
      <c r="C31" s="13"/>
      <c r="D31" s="13"/>
      <c r="E31" s="16"/>
      <c r="F31" s="16"/>
      <c r="G31" s="16"/>
      <c r="H31" s="16"/>
      <c r="I31" s="29"/>
      <c r="J31" s="16"/>
      <c r="K31" s="16"/>
      <c r="L31" s="16"/>
      <c r="M31" s="29"/>
    </row>
    <row r="32" ht="15.6" customHeight="1" spans="1:13">
      <c r="A32" s="12"/>
      <c r="B32" s="13"/>
      <c r="C32" s="13"/>
      <c r="D32" s="13"/>
      <c r="E32" s="16"/>
      <c r="F32" s="16"/>
      <c r="G32" s="16"/>
      <c r="H32" s="16"/>
      <c r="I32" s="29"/>
      <c r="J32" s="16"/>
      <c r="K32" s="16"/>
      <c r="L32" s="16"/>
      <c r="M32" s="29"/>
    </row>
    <row r="33" ht="15.6" customHeight="1" spans="1:13">
      <c r="A33" s="12"/>
      <c r="B33" s="13"/>
      <c r="C33" s="13"/>
      <c r="D33" s="13"/>
      <c r="E33" s="16"/>
      <c r="F33" s="16"/>
      <c r="G33" s="16"/>
      <c r="H33" s="16"/>
      <c r="I33" s="29"/>
      <c r="J33" s="16"/>
      <c r="K33" s="16"/>
      <c r="L33" s="16"/>
      <c r="M33" s="29"/>
    </row>
    <row r="34" ht="15.6" customHeight="1" spans="1:13">
      <c r="A34" s="12"/>
      <c r="B34" s="13"/>
      <c r="C34" s="13"/>
      <c r="D34" s="13"/>
      <c r="E34" s="16"/>
      <c r="F34" s="16"/>
      <c r="G34" s="16"/>
      <c r="H34" s="16"/>
      <c r="I34" s="29"/>
      <c r="J34" s="16"/>
      <c r="K34" s="16"/>
      <c r="L34" s="16"/>
      <c r="M34" s="29"/>
    </row>
    <row r="35" ht="15.6" customHeight="1" spans="1:13">
      <c r="A35" s="12"/>
      <c r="B35" s="13"/>
      <c r="C35" s="13"/>
      <c r="D35" s="13"/>
      <c r="E35" s="16"/>
      <c r="F35" s="16"/>
      <c r="G35" s="16"/>
      <c r="H35" s="16"/>
      <c r="I35" s="29"/>
      <c r="J35" s="16"/>
      <c r="K35" s="16"/>
      <c r="L35" s="16"/>
      <c r="M35" s="29"/>
    </row>
    <row r="36" ht="15.6" customHeight="1" spans="1:13">
      <c r="A36" s="12"/>
      <c r="B36" s="13"/>
      <c r="C36" s="13"/>
      <c r="D36" s="13"/>
      <c r="E36" s="16"/>
      <c r="F36" s="16"/>
      <c r="G36" s="16"/>
      <c r="H36" s="16"/>
      <c r="I36" s="29"/>
      <c r="J36" s="16"/>
      <c r="K36" s="16"/>
      <c r="L36" s="16"/>
      <c r="M36" s="29"/>
    </row>
    <row r="37" ht="15.6" customHeight="1" spans="1:13">
      <c r="A37" s="12"/>
      <c r="B37" s="13"/>
      <c r="C37" s="13"/>
      <c r="D37" s="13"/>
      <c r="E37" s="16"/>
      <c r="F37" s="16"/>
      <c r="G37" s="16"/>
      <c r="H37" s="16"/>
      <c r="I37" s="29"/>
      <c r="J37" s="16"/>
      <c r="K37" s="16"/>
      <c r="L37" s="16"/>
      <c r="M37" s="29"/>
    </row>
    <row r="38" ht="15.6" customHeight="1" spans="1:13">
      <c r="A38" s="12"/>
      <c r="B38" s="13"/>
      <c r="C38" s="13"/>
      <c r="D38" s="13"/>
      <c r="E38" s="16"/>
      <c r="F38" s="16"/>
      <c r="G38" s="16"/>
      <c r="H38" s="16"/>
      <c r="I38" s="29"/>
      <c r="J38" s="16"/>
      <c r="K38" s="16"/>
      <c r="L38" s="16"/>
      <c r="M38" s="29"/>
    </row>
    <row r="39" ht="15.6" customHeight="1" spans="1:13">
      <c r="A39" s="12"/>
      <c r="B39" s="13"/>
      <c r="C39" s="13"/>
      <c r="D39" s="13"/>
      <c r="E39" s="16"/>
      <c r="F39" s="16"/>
      <c r="G39" s="16"/>
      <c r="H39" s="16"/>
      <c r="I39" s="29"/>
      <c r="J39" s="16"/>
      <c r="K39" s="16"/>
      <c r="L39" s="16"/>
      <c r="M39" s="29"/>
    </row>
    <row r="40" ht="15.6" customHeight="1" spans="1:13">
      <c r="A40" s="12"/>
      <c r="B40" s="13"/>
      <c r="C40" s="13"/>
      <c r="D40" s="13"/>
      <c r="E40" s="16"/>
      <c r="F40" s="16"/>
      <c r="G40" s="16"/>
      <c r="H40" s="16"/>
      <c r="I40" s="29"/>
      <c r="J40" s="16"/>
      <c r="K40" s="16"/>
      <c r="L40" s="16"/>
      <c r="M40" s="29"/>
    </row>
    <row r="41" ht="15.6" customHeight="1" spans="1:13">
      <c r="A41" s="12"/>
      <c r="B41" s="13"/>
      <c r="C41" s="13"/>
      <c r="D41" s="13"/>
      <c r="E41" s="16"/>
      <c r="F41" s="16"/>
      <c r="G41" s="16"/>
      <c r="H41" s="16"/>
      <c r="I41" s="29"/>
      <c r="J41" s="16"/>
      <c r="K41" s="16"/>
      <c r="L41" s="16"/>
      <c r="M41" s="29"/>
    </row>
    <row r="42" ht="15.6" customHeight="1" spans="1:13">
      <c r="A42" s="12"/>
      <c r="B42" s="13"/>
      <c r="C42" s="13"/>
      <c r="D42" s="13"/>
      <c r="E42" s="16"/>
      <c r="F42" s="16"/>
      <c r="G42" s="16"/>
      <c r="H42" s="16"/>
      <c r="I42" s="29"/>
      <c r="J42" s="16"/>
      <c r="K42" s="16"/>
      <c r="L42" s="16"/>
      <c r="M42" s="29"/>
    </row>
    <row r="43" ht="15.6" customHeight="1" spans="1:13">
      <c r="A43" s="12"/>
      <c r="B43" s="13"/>
      <c r="C43" s="13"/>
      <c r="D43" s="13"/>
      <c r="E43" s="16"/>
      <c r="F43" s="16"/>
      <c r="G43" s="16"/>
      <c r="H43" s="16"/>
      <c r="I43" s="29"/>
      <c r="J43" s="16"/>
      <c r="K43" s="16"/>
      <c r="L43" s="16"/>
      <c r="M43" s="29"/>
    </row>
    <row r="44" ht="15.6" customHeight="1" spans="1:13">
      <c r="A44" s="12"/>
      <c r="B44" s="13"/>
      <c r="C44" s="13"/>
      <c r="D44" s="13"/>
      <c r="E44" s="16"/>
      <c r="F44" s="16"/>
      <c r="G44" s="16"/>
      <c r="H44" s="16"/>
      <c r="I44" s="29"/>
      <c r="J44" s="16"/>
      <c r="K44" s="16"/>
      <c r="L44" s="16"/>
      <c r="M44" s="29"/>
    </row>
    <row r="45" ht="15.6" customHeight="1" spans="1:13">
      <c r="A45" s="12"/>
      <c r="B45" s="13"/>
      <c r="C45" s="13"/>
      <c r="D45" s="13"/>
      <c r="E45" s="16"/>
      <c r="F45" s="16"/>
      <c r="G45" s="16"/>
      <c r="H45" s="16"/>
      <c r="I45" s="29"/>
      <c r="J45" s="16"/>
      <c r="K45" s="16"/>
      <c r="L45" s="16"/>
      <c r="M45" s="29"/>
    </row>
    <row r="46" ht="15.6" customHeight="1" spans="1:13">
      <c r="A46" s="12"/>
      <c r="B46" s="13"/>
      <c r="C46" s="13"/>
      <c r="D46" s="13"/>
      <c r="E46" s="16"/>
      <c r="F46" s="16"/>
      <c r="G46" s="16"/>
      <c r="H46" s="16"/>
      <c r="I46" s="29"/>
      <c r="J46" s="16"/>
      <c r="K46" s="16"/>
      <c r="L46" s="16"/>
      <c r="M46" s="29"/>
    </row>
    <row r="47" ht="15.6" customHeight="1" spans="1:13">
      <c r="A47" s="12"/>
      <c r="B47" s="13"/>
      <c r="C47" s="13"/>
      <c r="D47" s="13"/>
      <c r="E47" s="16"/>
      <c r="F47" s="16"/>
      <c r="G47" s="16"/>
      <c r="H47" s="16"/>
      <c r="I47" s="29"/>
      <c r="J47" s="16"/>
      <c r="K47" s="16"/>
      <c r="L47" s="16"/>
      <c r="M47" s="29"/>
    </row>
    <row r="48" ht="15.6" customHeight="1" spans="1:13">
      <c r="A48" s="12"/>
      <c r="B48" s="13"/>
      <c r="C48" s="13"/>
      <c r="D48" s="13"/>
      <c r="E48" s="16"/>
      <c r="F48" s="16"/>
      <c r="G48" s="16"/>
      <c r="H48" s="16"/>
      <c r="I48" s="29"/>
      <c r="J48" s="16"/>
      <c r="K48" s="16"/>
      <c r="L48" s="16"/>
      <c r="M48" s="29"/>
    </row>
    <row r="49" ht="15.6" customHeight="1" spans="1:13">
      <c r="A49" s="12"/>
      <c r="B49" s="13"/>
      <c r="C49" s="13"/>
      <c r="D49" s="13"/>
      <c r="E49" s="16"/>
      <c r="F49" s="16"/>
      <c r="G49" s="16"/>
      <c r="H49" s="16"/>
      <c r="I49" s="29"/>
      <c r="J49" s="16"/>
      <c r="K49" s="16"/>
      <c r="L49" s="16"/>
      <c r="M49" s="29"/>
    </row>
    <row r="50" ht="15.6" customHeight="1" spans="1:13">
      <c r="A50" s="12"/>
      <c r="B50" s="13"/>
      <c r="C50" s="13"/>
      <c r="D50" s="13"/>
      <c r="E50" s="16"/>
      <c r="F50" s="16"/>
      <c r="G50" s="16"/>
      <c r="H50" s="16"/>
      <c r="I50" s="29"/>
      <c r="J50" s="16"/>
      <c r="K50" s="16"/>
      <c r="L50" s="16"/>
      <c r="M50" s="29"/>
    </row>
    <row r="51" ht="15.6" customHeight="1" spans="1:13">
      <c r="A51" s="12"/>
      <c r="B51" s="13"/>
      <c r="C51" s="13"/>
      <c r="D51" s="13"/>
      <c r="E51" s="16"/>
      <c r="F51" s="16"/>
      <c r="G51" s="16"/>
      <c r="H51" s="16"/>
      <c r="I51" s="29"/>
      <c r="J51" s="16"/>
      <c r="K51" s="16"/>
      <c r="L51" s="16"/>
      <c r="M51" s="29"/>
    </row>
    <row r="52" ht="15.6" customHeight="1" spans="1:13">
      <c r="A52" s="12"/>
      <c r="B52" s="13"/>
      <c r="C52" s="13"/>
      <c r="D52" s="13"/>
      <c r="E52" s="16"/>
      <c r="F52" s="16"/>
      <c r="G52" s="16"/>
      <c r="H52" s="16"/>
      <c r="I52" s="29"/>
      <c r="J52" s="16"/>
      <c r="K52" s="16"/>
      <c r="L52" s="16"/>
      <c r="M52" s="29"/>
    </row>
    <row r="53" ht="15.6" customHeight="1" spans="1:13">
      <c r="A53" s="12"/>
      <c r="B53" s="13"/>
      <c r="C53" s="13"/>
      <c r="D53" s="13"/>
      <c r="E53" s="16"/>
      <c r="F53" s="16"/>
      <c r="G53" s="16"/>
      <c r="H53" s="16"/>
      <c r="I53" s="29"/>
      <c r="J53" s="16"/>
      <c r="K53" s="16"/>
      <c r="L53" s="16"/>
      <c r="M53" s="29"/>
    </row>
    <row r="54" ht="15.6" customHeight="1" spans="1:13">
      <c r="A54" s="12"/>
      <c r="B54" s="13"/>
      <c r="C54" s="13"/>
      <c r="D54" s="13"/>
      <c r="E54" s="16"/>
      <c r="F54" s="16"/>
      <c r="G54" s="16"/>
      <c r="H54" s="16"/>
      <c r="I54" s="29"/>
      <c r="J54" s="16"/>
      <c r="K54" s="16"/>
      <c r="L54" s="16"/>
      <c r="M54" s="29"/>
    </row>
    <row r="55" ht="15.6" customHeight="1" spans="1:13">
      <c r="A55" s="12"/>
      <c r="B55" s="13"/>
      <c r="C55" s="13"/>
      <c r="D55" s="13"/>
      <c r="E55" s="16"/>
      <c r="F55" s="16"/>
      <c r="G55" s="16"/>
      <c r="H55" s="16"/>
      <c r="I55" s="29"/>
      <c r="J55" s="16"/>
      <c r="K55" s="16"/>
      <c r="L55" s="16"/>
      <c r="M55" s="29"/>
    </row>
    <row r="56" ht="15.6" customHeight="1" spans="1:13">
      <c r="A56" s="12"/>
      <c r="B56" s="13"/>
      <c r="C56" s="13"/>
      <c r="D56" s="13"/>
      <c r="E56" s="16"/>
      <c r="F56" s="16"/>
      <c r="G56" s="16"/>
      <c r="H56" s="16"/>
      <c r="I56" s="29"/>
      <c r="J56" s="16"/>
      <c r="K56" s="16"/>
      <c r="L56" s="16"/>
      <c r="M56" s="29"/>
    </row>
    <row r="57" ht="15.6" customHeight="1" spans="1:13">
      <c r="A57" s="12"/>
      <c r="B57" s="13"/>
      <c r="C57" s="13"/>
      <c r="D57" s="13"/>
      <c r="E57" s="16"/>
      <c r="F57" s="16"/>
      <c r="G57" s="16"/>
      <c r="H57" s="16"/>
      <c r="I57" s="29"/>
      <c r="J57" s="16"/>
      <c r="K57" s="16"/>
      <c r="L57" s="16"/>
      <c r="M57" s="29"/>
    </row>
    <row r="58" ht="15.6" customHeight="1" spans="1:13">
      <c r="A58" s="12"/>
      <c r="B58" s="13"/>
      <c r="C58" s="13"/>
      <c r="D58" s="13"/>
      <c r="E58" s="16"/>
      <c r="F58" s="16"/>
      <c r="G58" s="16"/>
      <c r="H58" s="16"/>
      <c r="I58" s="29"/>
      <c r="J58" s="16"/>
      <c r="K58" s="16"/>
      <c r="L58" s="16"/>
      <c r="M58" s="29"/>
    </row>
    <row r="59" ht="15.6" customHeight="1" spans="1:13">
      <c r="A59" s="12"/>
      <c r="B59" s="13"/>
      <c r="C59" s="13"/>
      <c r="D59" s="13"/>
      <c r="E59" s="16"/>
      <c r="F59" s="16"/>
      <c r="G59" s="16"/>
      <c r="H59" s="16"/>
      <c r="I59" s="29"/>
      <c r="J59" s="16"/>
      <c r="K59" s="16"/>
      <c r="L59" s="16"/>
      <c r="M59" s="29"/>
    </row>
    <row r="60" ht="15.6" customHeight="1" spans="1:13">
      <c r="A60" s="12"/>
      <c r="B60" s="13"/>
      <c r="C60" s="13"/>
      <c r="D60" s="13"/>
      <c r="E60" s="16"/>
      <c r="F60" s="16"/>
      <c r="G60" s="16"/>
      <c r="H60" s="16"/>
      <c r="I60" s="29"/>
      <c r="J60" s="16"/>
      <c r="K60" s="16"/>
      <c r="L60" s="16"/>
      <c r="M60" s="29"/>
    </row>
    <row r="61" ht="15.6" customHeight="1" spans="1:13">
      <c r="A61" s="12"/>
      <c r="B61" s="13"/>
      <c r="C61" s="13"/>
      <c r="D61" s="13"/>
      <c r="E61" s="16"/>
      <c r="F61" s="16"/>
      <c r="G61" s="16"/>
      <c r="H61" s="16"/>
      <c r="I61" s="29"/>
      <c r="J61" s="16"/>
      <c r="K61" s="16"/>
      <c r="L61" s="16"/>
      <c r="M61" s="29"/>
    </row>
    <row r="62" ht="15.6" customHeight="1" spans="1:13">
      <c r="A62" s="12"/>
      <c r="B62" s="13"/>
      <c r="C62" s="13"/>
      <c r="D62" s="13"/>
      <c r="E62" s="16"/>
      <c r="F62" s="16"/>
      <c r="G62" s="16"/>
      <c r="H62" s="16"/>
      <c r="I62" s="29"/>
      <c r="J62" s="16"/>
      <c r="K62" s="16"/>
      <c r="L62" s="16"/>
      <c r="M62" s="29"/>
    </row>
    <row r="63" ht="15.6" customHeight="1" spans="1:13">
      <c r="A63" s="12"/>
      <c r="B63" s="13"/>
      <c r="C63" s="13"/>
      <c r="D63" s="13"/>
      <c r="E63" s="16"/>
      <c r="F63" s="16"/>
      <c r="G63" s="16"/>
      <c r="H63" s="16"/>
      <c r="I63" s="29"/>
      <c r="J63" s="16"/>
      <c r="K63" s="16"/>
      <c r="L63" s="16"/>
      <c r="M63" s="29"/>
    </row>
    <row r="64" ht="15.6" customHeight="1" spans="1:13">
      <c r="A64" s="12"/>
      <c r="B64" s="13"/>
      <c r="C64" s="13"/>
      <c r="D64" s="13"/>
      <c r="E64" s="16"/>
      <c r="F64" s="16"/>
      <c r="G64" s="16"/>
      <c r="H64" s="16"/>
      <c r="I64" s="29"/>
      <c r="J64" s="16"/>
      <c r="K64" s="16"/>
      <c r="L64" s="16"/>
      <c r="M64" s="29"/>
    </row>
    <row r="65" ht="15.6" customHeight="1" spans="1:13">
      <c r="A65" s="12"/>
      <c r="B65" s="13"/>
      <c r="C65" s="13"/>
      <c r="D65" s="13"/>
      <c r="E65" s="16"/>
      <c r="F65" s="16"/>
      <c r="G65" s="16"/>
      <c r="H65" s="16"/>
      <c r="I65" s="29"/>
      <c r="J65" s="16"/>
      <c r="K65" s="16"/>
      <c r="L65" s="16"/>
      <c r="M65" s="29"/>
    </row>
    <row r="66" ht="15.6" customHeight="1" spans="1:13">
      <c r="A66" s="12"/>
      <c r="B66" s="13"/>
      <c r="C66" s="13"/>
      <c r="D66" s="13"/>
      <c r="E66" s="16"/>
      <c r="F66" s="16"/>
      <c r="G66" s="16"/>
      <c r="H66" s="16"/>
      <c r="I66" s="29"/>
      <c r="J66" s="16"/>
      <c r="K66" s="16"/>
      <c r="L66" s="16"/>
      <c r="M66" s="29"/>
    </row>
    <row r="67" ht="15.6" customHeight="1" spans="1:13">
      <c r="A67" s="12"/>
      <c r="B67" s="13"/>
      <c r="C67" s="13"/>
      <c r="D67" s="13"/>
      <c r="E67" s="16"/>
      <c r="F67" s="16"/>
      <c r="G67" s="16"/>
      <c r="H67" s="16"/>
      <c r="I67" s="29"/>
      <c r="J67" s="16"/>
      <c r="K67" s="16"/>
      <c r="L67" s="16"/>
      <c r="M67" s="29"/>
    </row>
    <row r="68" ht="15.6" customHeight="1" spans="1:13">
      <c r="A68" s="12"/>
      <c r="B68" s="13"/>
      <c r="C68" s="13"/>
      <c r="D68" s="13"/>
      <c r="E68" s="16"/>
      <c r="F68" s="16"/>
      <c r="G68" s="16"/>
      <c r="H68" s="16"/>
      <c r="I68" s="29"/>
      <c r="J68" s="16"/>
      <c r="K68" s="16"/>
      <c r="L68" s="16"/>
      <c r="M68" s="29"/>
    </row>
    <row r="69" ht="15.6" customHeight="1" spans="1:13">
      <c r="A69" s="12"/>
      <c r="B69" s="13"/>
      <c r="C69" s="13"/>
      <c r="D69" s="13"/>
      <c r="E69" s="16"/>
      <c r="F69" s="16"/>
      <c r="G69" s="16"/>
      <c r="H69" s="16"/>
      <c r="I69" s="29"/>
      <c r="J69" s="16"/>
      <c r="K69" s="16"/>
      <c r="L69" s="16"/>
      <c r="M69" s="29"/>
    </row>
    <row r="70" ht="15.6" customHeight="1" spans="1:13">
      <c r="A70" s="12"/>
      <c r="B70" s="13"/>
      <c r="C70" s="13"/>
      <c r="D70" s="13"/>
      <c r="E70" s="16"/>
      <c r="F70" s="16"/>
      <c r="G70" s="16"/>
      <c r="H70" s="16"/>
      <c r="I70" s="29"/>
      <c r="J70" s="16"/>
      <c r="K70" s="16"/>
      <c r="L70" s="16"/>
      <c r="M70" s="29"/>
    </row>
    <row r="71" ht="15.6" customHeight="1" spans="1:13">
      <c r="A71" s="12"/>
      <c r="B71" s="13"/>
      <c r="C71" s="13"/>
      <c r="D71" s="13"/>
      <c r="E71" s="16"/>
      <c r="F71" s="16"/>
      <c r="G71" s="16"/>
      <c r="H71" s="16"/>
      <c r="I71" s="29"/>
      <c r="J71" s="16"/>
      <c r="K71" s="16"/>
      <c r="L71" s="16"/>
      <c r="M71" s="29"/>
    </row>
    <row r="72" ht="15.6" customHeight="1" spans="1:13">
      <c r="A72" s="12"/>
      <c r="B72" s="13"/>
      <c r="C72" s="13"/>
      <c r="D72" s="13"/>
      <c r="E72" s="16"/>
      <c r="F72" s="16"/>
      <c r="G72" s="16"/>
      <c r="H72" s="16"/>
      <c r="I72" s="29"/>
      <c r="J72" s="16"/>
      <c r="K72" s="16"/>
      <c r="L72" s="16"/>
      <c r="M72" s="29"/>
    </row>
    <row r="73" ht="15.6" customHeight="1" spans="1:13">
      <c r="A73" s="12"/>
      <c r="B73" s="13"/>
      <c r="C73" s="13"/>
      <c r="D73" s="13"/>
      <c r="E73" s="16"/>
      <c r="F73" s="16"/>
      <c r="G73" s="16"/>
      <c r="H73" s="16"/>
      <c r="I73" s="29"/>
      <c r="J73" s="16"/>
      <c r="K73" s="16"/>
      <c r="L73" s="16"/>
      <c r="M73" s="29"/>
    </row>
    <row r="74" ht="15.6" customHeight="1" spans="1:13">
      <c r="A74" s="12"/>
      <c r="B74" s="13"/>
      <c r="C74" s="13"/>
      <c r="D74" s="13"/>
      <c r="E74" s="16"/>
      <c r="F74" s="16"/>
      <c r="G74" s="16"/>
      <c r="H74" s="16"/>
      <c r="I74" s="29"/>
      <c r="J74" s="16"/>
      <c r="K74" s="16"/>
      <c r="L74" s="16"/>
      <c r="M74" s="29"/>
    </row>
    <row r="75" ht="15.6" customHeight="1" spans="1:13">
      <c r="A75" s="12"/>
      <c r="B75" s="13"/>
      <c r="C75" s="13"/>
      <c r="D75" s="13"/>
      <c r="E75" s="16"/>
      <c r="F75" s="16"/>
      <c r="G75" s="16"/>
      <c r="H75" s="16"/>
      <c r="I75" s="29"/>
      <c r="J75" s="16"/>
      <c r="K75" s="16"/>
      <c r="L75" s="16"/>
      <c r="M75" s="29"/>
    </row>
    <row r="76" ht="15.6" customHeight="1" spans="1:13">
      <c r="A76" s="12"/>
      <c r="B76" s="13"/>
      <c r="C76" s="13"/>
      <c r="D76" s="13"/>
      <c r="E76" s="16"/>
      <c r="F76" s="16"/>
      <c r="G76" s="16"/>
      <c r="H76" s="16"/>
      <c r="I76" s="29"/>
      <c r="J76" s="16"/>
      <c r="K76" s="16"/>
      <c r="L76" s="16"/>
      <c r="M76" s="29"/>
    </row>
    <row r="77" ht="15.6" customHeight="1" spans="1:13">
      <c r="A77" s="12"/>
      <c r="B77" s="13"/>
      <c r="C77" s="13"/>
      <c r="D77" s="13"/>
      <c r="E77" s="16"/>
      <c r="F77" s="16"/>
      <c r="G77" s="16"/>
      <c r="H77" s="16"/>
      <c r="I77" s="29"/>
      <c r="J77" s="16"/>
      <c r="K77" s="16"/>
      <c r="L77" s="16"/>
      <c r="M77" s="29"/>
    </row>
    <row r="78" ht="15.6" customHeight="1" spans="1:13">
      <c r="A78" s="12"/>
      <c r="B78" s="13"/>
      <c r="C78" s="13"/>
      <c r="D78" s="13"/>
      <c r="E78" s="16"/>
      <c r="F78" s="16"/>
      <c r="G78" s="16"/>
      <c r="H78" s="16"/>
      <c r="I78" s="29"/>
      <c r="J78" s="16"/>
      <c r="K78" s="16"/>
      <c r="L78" s="16"/>
      <c r="M78" s="29"/>
    </row>
    <row r="79" ht="15.6" customHeight="1" spans="1:13">
      <c r="A79" s="12"/>
      <c r="B79" s="13"/>
      <c r="C79" s="13"/>
      <c r="D79" s="13"/>
      <c r="E79" s="16"/>
      <c r="F79" s="16"/>
      <c r="G79" s="16"/>
      <c r="H79" s="16"/>
      <c r="I79" s="29"/>
      <c r="J79" s="16"/>
      <c r="K79" s="16"/>
      <c r="L79" s="16"/>
      <c r="M79" s="29"/>
    </row>
    <row r="80" ht="15.6" customHeight="1" spans="1:13">
      <c r="A80" s="12"/>
      <c r="B80" s="13"/>
      <c r="C80" s="13"/>
      <c r="D80" s="13"/>
      <c r="E80" s="16"/>
      <c r="F80" s="16"/>
      <c r="G80" s="16"/>
      <c r="H80" s="16"/>
      <c r="I80" s="29"/>
      <c r="J80" s="16"/>
      <c r="K80" s="16"/>
      <c r="L80" s="16"/>
      <c r="M80" s="29"/>
    </row>
    <row r="81" ht="15.6" customHeight="1" spans="1:13">
      <c r="A81" s="12"/>
      <c r="B81" s="13"/>
      <c r="C81" s="13"/>
      <c r="D81" s="13"/>
      <c r="E81" s="16"/>
      <c r="F81" s="16"/>
      <c r="G81" s="16"/>
      <c r="H81" s="16"/>
      <c r="I81" s="29"/>
      <c r="J81" s="16"/>
      <c r="K81" s="16"/>
      <c r="L81" s="16"/>
      <c r="M81" s="29"/>
    </row>
    <row r="82" ht="15.6" customHeight="1" spans="1:13">
      <c r="A82" s="12"/>
      <c r="B82" s="13"/>
      <c r="C82" s="13"/>
      <c r="D82" s="13"/>
      <c r="E82" s="16"/>
      <c r="F82" s="16"/>
      <c r="G82" s="16"/>
      <c r="H82" s="16"/>
      <c r="I82" s="29"/>
      <c r="J82" s="16"/>
      <c r="K82" s="16"/>
      <c r="L82" s="16"/>
      <c r="M82" s="29"/>
    </row>
    <row r="83" ht="15.6" customHeight="1" spans="1:13">
      <c r="A83" s="12"/>
      <c r="B83" s="13"/>
      <c r="C83" s="13"/>
      <c r="D83" s="13"/>
      <c r="E83" s="16"/>
      <c r="F83" s="16"/>
      <c r="G83" s="16"/>
      <c r="H83" s="16"/>
      <c r="I83" s="29"/>
      <c r="J83" s="16"/>
      <c r="K83" s="16"/>
      <c r="L83" s="16"/>
      <c r="M83" s="29"/>
    </row>
    <row r="84" ht="15.6" customHeight="1" spans="1:13">
      <c r="A84" s="12"/>
      <c r="B84" s="13"/>
      <c r="C84" s="13"/>
      <c r="D84" s="13"/>
      <c r="E84" s="16"/>
      <c r="F84" s="16"/>
      <c r="G84" s="16"/>
      <c r="H84" s="16"/>
      <c r="I84" s="29"/>
      <c r="J84" s="16"/>
      <c r="K84" s="16"/>
      <c r="L84" s="16"/>
      <c r="M84" s="29"/>
    </row>
    <row r="85" ht="15.6" customHeight="1" spans="1:13">
      <c r="A85" s="12"/>
      <c r="B85" s="13"/>
      <c r="C85" s="13"/>
      <c r="D85" s="13"/>
      <c r="E85" s="16"/>
      <c r="F85" s="16"/>
      <c r="G85" s="16"/>
      <c r="H85" s="16"/>
      <c r="I85" s="29"/>
      <c r="J85" s="16"/>
      <c r="K85" s="16"/>
      <c r="L85" s="16"/>
      <c r="M85" s="29"/>
    </row>
    <row r="86" ht="15.6" customHeight="1" spans="1:13">
      <c r="A86" s="12"/>
      <c r="B86" s="13"/>
      <c r="C86" s="13"/>
      <c r="D86" s="13"/>
      <c r="E86" s="16"/>
      <c r="F86" s="16"/>
      <c r="G86" s="16"/>
      <c r="H86" s="16"/>
      <c r="I86" s="29"/>
      <c r="J86" s="16"/>
      <c r="K86" s="16"/>
      <c r="L86" s="16"/>
      <c r="M86" s="29"/>
    </row>
    <row r="87" ht="15.6" customHeight="1" spans="1:13">
      <c r="A87" s="12"/>
      <c r="B87" s="13"/>
      <c r="C87" s="13"/>
      <c r="D87" s="13"/>
      <c r="E87" s="16"/>
      <c r="F87" s="16"/>
      <c r="G87" s="16"/>
      <c r="H87" s="16"/>
      <c r="I87" s="29"/>
      <c r="J87" s="16"/>
      <c r="K87" s="16"/>
      <c r="L87" s="16"/>
      <c r="M87" s="29"/>
    </row>
    <row r="88" ht="15.6" customHeight="1" spans="1:13">
      <c r="A88" s="12"/>
      <c r="B88" s="13"/>
      <c r="C88" s="13"/>
      <c r="D88" s="13"/>
      <c r="E88" s="16"/>
      <c r="F88" s="16"/>
      <c r="G88" s="16"/>
      <c r="H88" s="16"/>
      <c r="I88" s="29"/>
      <c r="J88" s="16"/>
      <c r="K88" s="16"/>
      <c r="L88" s="16"/>
      <c r="M88" s="29"/>
    </row>
    <row r="89" ht="15.6" customHeight="1" spans="1:13">
      <c r="A89" s="12"/>
      <c r="B89" s="13"/>
      <c r="C89" s="13"/>
      <c r="D89" s="13"/>
      <c r="E89" s="16"/>
      <c r="F89" s="16"/>
      <c r="G89" s="16"/>
      <c r="H89" s="16"/>
      <c r="I89" s="29"/>
      <c r="J89" s="16"/>
      <c r="K89" s="16"/>
      <c r="L89" s="16"/>
      <c r="M89" s="29"/>
    </row>
    <row r="90" ht="15.6" customHeight="1" spans="1:13">
      <c r="A90" s="12"/>
      <c r="B90" s="13"/>
      <c r="C90" s="13"/>
      <c r="D90" s="13"/>
      <c r="E90" s="16"/>
      <c r="F90" s="16"/>
      <c r="G90" s="16"/>
      <c r="H90" s="16"/>
      <c r="I90" s="29"/>
      <c r="J90" s="16"/>
      <c r="K90" s="16"/>
      <c r="L90" s="16"/>
      <c r="M90" s="29"/>
    </row>
    <row r="91" ht="15.6" customHeight="1" spans="1:13">
      <c r="A91" s="12"/>
      <c r="B91" s="13"/>
      <c r="C91" s="13"/>
      <c r="D91" s="13"/>
      <c r="E91" s="16"/>
      <c r="F91" s="16"/>
      <c r="G91" s="16"/>
      <c r="H91" s="16"/>
      <c r="I91" s="29"/>
      <c r="J91" s="16"/>
      <c r="K91" s="16"/>
      <c r="L91" s="16"/>
      <c r="M91" s="29"/>
    </row>
    <row r="92" ht="15.6" customHeight="1" spans="1:13">
      <c r="A92" s="12"/>
      <c r="B92" s="13"/>
      <c r="C92" s="13"/>
      <c r="D92" s="13"/>
      <c r="E92" s="16"/>
      <c r="F92" s="16"/>
      <c r="G92" s="16"/>
      <c r="H92" s="16"/>
      <c r="I92" s="29"/>
      <c r="J92" s="16"/>
      <c r="K92" s="16"/>
      <c r="L92" s="16"/>
      <c r="M92" s="29"/>
    </row>
    <row r="93" ht="15.6" customHeight="1" spans="1:13">
      <c r="A93" s="12"/>
      <c r="B93" s="13"/>
      <c r="C93" s="13"/>
      <c r="D93" s="13"/>
      <c r="E93" s="16"/>
      <c r="F93" s="16"/>
      <c r="G93" s="16"/>
      <c r="H93" s="16"/>
      <c r="I93" s="29"/>
      <c r="J93" s="16"/>
      <c r="K93" s="16"/>
      <c r="L93" s="16"/>
      <c r="M93" s="29"/>
    </row>
    <row r="94" ht="15.6" customHeight="1" spans="1:13">
      <c r="A94" s="12"/>
      <c r="B94" s="13"/>
      <c r="C94" s="13"/>
      <c r="D94" s="13"/>
      <c r="E94" s="16"/>
      <c r="F94" s="16"/>
      <c r="G94" s="16"/>
      <c r="H94" s="16"/>
      <c r="I94" s="29"/>
      <c r="J94" s="16"/>
      <c r="K94" s="16"/>
      <c r="L94" s="16"/>
      <c r="M94" s="29"/>
    </row>
    <row r="95" ht="15.6" customHeight="1" spans="1:13">
      <c r="A95" s="12"/>
      <c r="B95" s="13"/>
      <c r="C95" s="13"/>
      <c r="D95" s="13"/>
      <c r="E95" s="16"/>
      <c r="F95" s="16"/>
      <c r="G95" s="16"/>
      <c r="H95" s="16"/>
      <c r="I95" s="29"/>
      <c r="J95" s="16"/>
      <c r="K95" s="16"/>
      <c r="L95" s="16"/>
      <c r="M95" s="29"/>
    </row>
    <row r="96" ht="15.6" customHeight="1" spans="1:13">
      <c r="A96" s="12"/>
      <c r="B96" s="13"/>
      <c r="C96" s="13"/>
      <c r="D96" s="13"/>
      <c r="E96" s="16"/>
      <c r="F96" s="16"/>
      <c r="G96" s="16"/>
      <c r="H96" s="16"/>
      <c r="I96" s="29"/>
      <c r="J96" s="16"/>
      <c r="K96" s="16"/>
      <c r="L96" s="16"/>
      <c r="M96" s="29"/>
    </row>
    <row r="97" ht="15.6" customHeight="1" spans="1:13">
      <c r="A97" s="12"/>
      <c r="B97" s="13"/>
      <c r="C97" s="13"/>
      <c r="D97" s="13"/>
      <c r="E97" s="16"/>
      <c r="F97" s="16"/>
      <c r="G97" s="16"/>
      <c r="H97" s="16"/>
      <c r="I97" s="29"/>
      <c r="J97" s="16"/>
      <c r="K97" s="16"/>
      <c r="L97" s="16"/>
      <c r="M97" s="29"/>
    </row>
    <row r="98" ht="15.6" customHeight="1" spans="1:13">
      <c r="A98" s="12"/>
      <c r="B98" s="13"/>
      <c r="C98" s="13"/>
      <c r="D98" s="13"/>
      <c r="E98" s="16"/>
      <c r="F98" s="16"/>
      <c r="G98" s="16"/>
      <c r="H98" s="16"/>
      <c r="I98" s="29"/>
      <c r="J98" s="16"/>
      <c r="K98" s="16"/>
      <c r="L98" s="16"/>
      <c r="M98" s="29"/>
    </row>
    <row r="99" ht="15.6" customHeight="1" spans="1:13">
      <c r="A99" s="12"/>
      <c r="B99" s="13"/>
      <c r="C99" s="13"/>
      <c r="D99" s="13"/>
      <c r="E99" s="16"/>
      <c r="F99" s="16"/>
      <c r="G99" s="16"/>
      <c r="H99" s="16"/>
      <c r="I99" s="29"/>
      <c r="J99" s="16"/>
      <c r="K99" s="16"/>
      <c r="L99" s="16"/>
      <c r="M99" s="29"/>
    </row>
    <row r="100" ht="15.6" customHeight="1" spans="1:13">
      <c r="A100" s="12"/>
      <c r="B100" s="13"/>
      <c r="C100" s="13"/>
      <c r="D100" s="13"/>
      <c r="E100" s="16"/>
      <c r="F100" s="16"/>
      <c r="G100" s="16"/>
      <c r="H100" s="16"/>
      <c r="I100" s="29"/>
      <c r="J100" s="16"/>
      <c r="K100" s="16"/>
      <c r="L100" s="16"/>
      <c r="M100" s="29"/>
    </row>
  </sheetData>
  <mergeCells count="4">
    <mergeCell ref="A1:B1"/>
    <mergeCell ref="C1:E1"/>
    <mergeCell ref="F1:I1"/>
    <mergeCell ref="J1:K1"/>
  </mergeCells>
  <conditionalFormatting sqref="A3:E100 J3:M100">
    <cfRule type="expression" dxfId="0" priority="2">
      <formula>MOD(ROW(),2)=0</formula>
    </cfRule>
  </conditionalFormatting>
  <conditionalFormatting sqref="F3:I100">
    <cfRule type="expression" dxfId="0" priority="1">
      <formula>MOD(ROW(),2)=0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主观多头</vt:lpstr>
      <vt:lpstr>300指增</vt:lpstr>
      <vt:lpstr>500指增</vt:lpstr>
      <vt:lpstr>1000指增</vt:lpstr>
      <vt:lpstr>2000指增</vt:lpstr>
      <vt:lpstr>另类指增</vt:lpstr>
      <vt:lpstr>量化选股</vt:lpstr>
      <vt:lpstr>择时&amp;多空</vt:lpstr>
      <vt:lpstr>市场中性&amp;T0</vt:lpstr>
      <vt:lpstr>可转债多头</vt:lpstr>
      <vt:lpstr>主观CTA</vt:lpstr>
      <vt:lpstr>量化CTA</vt:lpstr>
      <vt:lpstr>复合CTA</vt:lpstr>
      <vt:lpstr>套利策略</vt:lpstr>
      <vt:lpstr>宏观策略</vt:lpstr>
      <vt:lpstr>复合策略</vt:lpstr>
      <vt:lpstr>强势股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Amy Lu</cp:lastModifiedBy>
  <dcterms:created xsi:type="dcterms:W3CDTF">2026-05-20T09:02:00Z</dcterms:created>
  <dcterms:modified xsi:type="dcterms:W3CDTF">2026-07-08T02:11:02Z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9FC9794B-6C5A-4697-9024-51C72D152619</vt:lpwstr>
  </property>
  <property fmtid="{D5CDD505-2E9C-101B-9397-08002B2CF9AE}" pid="3" name="ICV">
    <vt:lpwstr>FE46DB89069047E78D545B9C59ADD7E7</vt:lpwstr>
  </property>
  <property fmtid="{D5CDD505-2E9C-101B-9397-08002B2CF9AE}" pid="4" name="KSOProductBuildVer">
    <vt:lpwstr>2052-11.8.2.12094</vt:lpwstr>
  </property>
</Properties>
</file>